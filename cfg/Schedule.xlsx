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IMURA Mar 26" sheetId="1" r:id="rId5"/>
    <sheet state="visible" name="มกราคม" sheetId="2" r:id="rId6"/>
    <sheet state="visible" name="กุมภา" sheetId="3" r:id="rId7"/>
    <sheet state="visible" name="มีนาคม" sheetId="4" r:id="rId8"/>
    <sheet state="visible" name="สำเนาของ สำเนาของ สำเนา" sheetId="5" r:id="rId9"/>
  </sheets>
  <definedNames/>
  <calcPr/>
</workbook>
</file>

<file path=xl/sharedStrings.xml><?xml version="1.0" encoding="utf-8"?>
<sst xmlns="http://schemas.openxmlformats.org/spreadsheetml/2006/main" count="1719" uniqueCount="155">
  <si>
    <t>No.</t>
  </si>
  <si>
    <t xml:space="preserve"> </t>
  </si>
  <si>
    <t>Date</t>
  </si>
  <si>
    <t>Day</t>
  </si>
  <si>
    <t>Time</t>
  </si>
  <si>
    <t>kol</t>
  </si>
  <si>
    <t>Shopee</t>
  </si>
  <si>
    <t>SUN</t>
  </si>
  <si>
    <t xml:space="preserve">07:00-09:00 </t>
  </si>
  <si>
    <t>09.00-11.00</t>
  </si>
  <si>
    <t>11.00-13.00</t>
  </si>
  <si>
    <t>โอเลี้ยง</t>
  </si>
  <si>
    <t>13.00-15.00</t>
  </si>
  <si>
    <t>15.00-17.00</t>
  </si>
  <si>
    <t>17.00-19.00</t>
  </si>
  <si>
    <t>19:00-21:00</t>
  </si>
  <si>
    <t>22:00-23:00</t>
  </si>
  <si>
    <t>23:00-01:00</t>
  </si>
  <si>
    <t>MON</t>
  </si>
  <si>
    <t>TUE</t>
  </si>
  <si>
    <t>WED</t>
  </si>
  <si>
    <t>THU</t>
  </si>
  <si>
    <t>FRI</t>
  </si>
  <si>
    <t>SAT</t>
  </si>
  <si>
    <t>14.00-16.00</t>
  </si>
  <si>
    <t>19.00-21.00</t>
  </si>
  <si>
    <t>21:00-23:00</t>
  </si>
  <si>
    <t>13:00-15:00</t>
  </si>
  <si>
    <t>18.00-21.00</t>
  </si>
  <si>
    <t>Tiktok หลัก</t>
  </si>
  <si>
    <t>19:00-21:00 x พยาบาล</t>
  </si>
  <si>
    <t>สีแดง ยิงแอด</t>
  </si>
  <si>
    <t>19:00-20:00</t>
  </si>
  <si>
    <t>คุณนิดหน่อย</t>
  </si>
  <si>
    <t>Tiktok ใหม่</t>
  </si>
  <si>
    <t>08.00-10.00</t>
  </si>
  <si>
    <t>กลุ่ม 1</t>
  </si>
  <si>
    <t>Srijanwipatsana@gmail.com.   sirikornaern@gmail.com
thephisraratn644@gmail.com</t>
  </si>
  <si>
    <t>กลุ่ม 2</t>
  </si>
  <si>
    <t xml:space="preserve">Katekanda1997@gmail.com 
</t>
  </si>
  <si>
    <t>moremayskinc@gmail.com</t>
  </si>
  <si>
    <t>Hathairatsuriyan.j@gmail.com</t>
  </si>
  <si>
    <t>กลุ่ม 3</t>
  </si>
  <si>
    <t xml:space="preserve">fonchenklang@gmail.com   </t>
  </si>
  <si>
    <t xml:space="preserve"> nuanney11@gmail.com</t>
  </si>
  <si>
    <t>DEC KPI</t>
  </si>
  <si>
    <t>KPI</t>
  </si>
  <si>
    <t>กลุ่ม</t>
  </si>
  <si>
    <t>&lt;10</t>
  </si>
  <si>
    <t xml:space="preserve">Srijanwipatsana@gmail.com. </t>
  </si>
  <si>
    <t>มิ้น</t>
  </si>
  <si>
    <t xml:space="preserve">Katekanda1997@gmail.com </t>
  </si>
  <si>
    <t>เอิน</t>
  </si>
  <si>
    <t xml:space="preserve"> sirikornaern@gmail.com</t>
  </si>
  <si>
    <t>นวล</t>
  </si>
  <si>
    <t>&lt;5</t>
  </si>
  <si>
    <t>เมย์</t>
  </si>
  <si>
    <t>แพรว</t>
  </si>
  <si>
    <t>แพร</t>
  </si>
  <si>
    <t>Paresararat.jampare@gmail.com</t>
  </si>
  <si>
    <t>ฝน</t>
  </si>
  <si>
    <t>*** KPI คิดจาก ยอดขาย ค่าตัว ค่าแอด ค่าแพทฟอร์ม</t>
  </si>
  <si>
    <t>วัคซีนผิง</t>
  </si>
  <si>
    <t>กันยายน</t>
  </si>
  <si>
    <t>อาหารแมว</t>
  </si>
  <si>
    <t>รายจ่าย</t>
  </si>
  <si>
    <t>จำนวน</t>
  </si>
  <si>
    <t>กำหนดจ่าย</t>
  </si>
  <si>
    <t>เก็บจ่าย</t>
  </si>
  <si>
    <t>iphone 18 pro 258</t>
  </si>
  <si>
    <t>สินเชื่อกสิกร</t>
  </si>
  <si>
    <t xml:space="preserve">รถมอไซค์  </t>
  </si>
  <si>
    <t>บัตรกสิกร</t>
  </si>
  <si>
    <t xml:space="preserve">บัตรกรุงศรี </t>
  </si>
  <si>
    <t>บัตร first choce</t>
  </si>
  <si>
    <t>ค่าไฟ</t>
  </si>
  <si>
    <t>Card X</t>
  </si>
  <si>
    <t>เก็บเงินลงทุน 5 % ของรายได้</t>
  </si>
  <si>
    <t xml:space="preserve">เก็บเงิินสำรอง 10% ของรายได้ </t>
  </si>
  <si>
    <t>ตารางรับเงินมกราคม</t>
  </si>
  <si>
    <t xml:space="preserve">เก็บเงินเที่ยว 5% ของรายได้ </t>
  </si>
  <si>
    <t>k.Jane</t>
  </si>
  <si>
    <t xml:space="preserve">เก็บเงินเรียนรู้เพิ่ม 3  % ของรายได้ </t>
  </si>
  <si>
    <t>Birdshop</t>
  </si>
  <si>
    <t>คุณเอิน</t>
  </si>
  <si>
    <t>19 ขม</t>
  </si>
  <si>
    <t>Jew</t>
  </si>
  <si>
    <t>ออกก่อนหารครึ่ง</t>
  </si>
  <si>
    <t>IMURA</t>
  </si>
  <si>
    <t>IMURA คอม</t>
  </si>
  <si>
    <t>วันที่</t>
  </si>
  <si>
    <t>ช่องทาง</t>
  </si>
  <si>
    <t>เวลา</t>
  </si>
  <si>
    <t>ชั่วโมง</t>
  </si>
  <si>
    <t>ยอด</t>
  </si>
  <si>
    <t>ค่าคอม</t>
  </si>
  <si>
    <t>หมายเหตุ</t>
  </si>
  <si>
    <t xml:space="preserve">07:00 - 09:00 </t>
  </si>
  <si>
    <t>TT หลัก</t>
  </si>
  <si>
    <t xml:space="preserve">09:00 - 11:00 </t>
  </si>
  <si>
    <t>17:00 - 19:00</t>
  </si>
  <si>
    <t xml:space="preserve">11:00 - 13:00 </t>
  </si>
  <si>
    <t>19:00 - 21:00</t>
  </si>
  <si>
    <t>19:30 - 20:30</t>
  </si>
  <si>
    <t>ป่วยอ้วกกลางไลฟ์</t>
  </si>
  <si>
    <t>09:00 - 11:00</t>
  </si>
  <si>
    <t xml:space="preserve">19:00 - 21:00 </t>
  </si>
  <si>
    <t xml:space="preserve">07:30 - 09:00 </t>
  </si>
  <si>
    <t>ยอดเต็ม 21,426.60</t>
  </si>
  <si>
    <t>หักยกเลิก</t>
  </si>
  <si>
    <t>Sp</t>
  </si>
  <si>
    <t>17:00 - 18:00</t>
  </si>
  <si>
    <t>ท้องเสีย ปวดท้อง</t>
  </si>
  <si>
    <t xml:space="preserve">11:00 - 13:30 </t>
  </si>
  <si>
    <t xml:space="preserve">วันที่ </t>
  </si>
  <si>
    <t xml:space="preserve">08:00 - 10:00 </t>
  </si>
  <si>
    <t xml:space="preserve">10:45 - 13:45 </t>
  </si>
  <si>
    <t>18:00-19:00</t>
  </si>
  <si>
    <t xml:space="preserve">18:00 - 19:00 </t>
  </si>
  <si>
    <t xml:space="preserve">11:00 - 12:00 </t>
  </si>
  <si>
    <t>ชดพน 1 ชม</t>
  </si>
  <si>
    <t>10;20-10:44</t>
  </si>
  <si>
    <t>ขึ้นเร็วเพราะมีปองย้ายไปไลฟ์ตต</t>
  </si>
  <si>
    <t>20:40-21:10</t>
  </si>
  <si>
    <t>มาร์คหน้า</t>
  </si>
  <si>
    <t>น้ำยาบ้วนปาก</t>
  </si>
  <si>
    <t>ผ้าอนามัย</t>
  </si>
  <si>
    <t>Choize</t>
  </si>
  <si>
    <t>2591 o</t>
  </si>
  <si>
    <t>ทีขัดตัว</t>
  </si>
  <si>
    <t>สบู่</t>
  </si>
  <si>
    <t>ยาสระผม</t>
  </si>
  <si>
    <t>ที่วางโทรศัพท์</t>
  </si>
  <si>
    <t>ตู้</t>
  </si>
  <si>
    <t>แมว</t>
  </si>
  <si>
    <t>เก้าอี้</t>
  </si>
  <si>
    <t>ตารางรับเงินกุมภาพันธ์</t>
  </si>
  <si>
    <t>โทรศัพท์</t>
  </si>
  <si>
    <t>k.ploy fellower</t>
  </si>
  <si>
    <t>8 ชม</t>
  </si>
  <si>
    <t>ใบหักยังไม่ได้</t>
  </si>
  <si>
    <t>vdo พอลส์ซิเบิ้ล</t>
  </si>
  <si>
    <t xml:space="preserve">17:00 - 21:00 </t>
  </si>
  <si>
    <t>เน็ตแดง</t>
  </si>
  <si>
    <t>ปวดท้องจู๊ด</t>
  </si>
  <si>
    <t>09:00 -09:30</t>
  </si>
  <si>
    <t>ย้ายไปชป</t>
  </si>
  <si>
    <t xml:space="preserve">19:00 - 20:30 </t>
  </si>
  <si>
    <t xml:space="preserve">23:00 - 01:00 </t>
  </si>
  <si>
    <t xml:space="preserve">09:00 - 13:00 </t>
  </si>
  <si>
    <t>09:30-11:00</t>
  </si>
  <si>
    <t xml:space="preserve">13:00 - 15:00 </t>
  </si>
  <si>
    <t xml:space="preserve">16:00 - 21:00 </t>
  </si>
  <si>
    <t xml:space="preserve">21:00 - 23:00 </t>
  </si>
  <si>
    <t>ค่าน้ำมัน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</si>
</sst>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"/>
    <numFmt numFmtId="166" formatCode="dd-mm"/>
    <numFmt numFmtId="167" formatCode="&quot;฿&quot;#,##0"/>
  </numFmts>
  <fonts count="11">
    <font>
      <sz val="10.0"/>
      <color rgb="FF000000"/>
      <name val="Arial"/>
      <scheme val="minor"/>
    </font>
    <font>
      <color theme="1"/>
      <name val="Arial"/>
    </font>
    <font>
      <color rgb="FFFFFFFF"/>
      <name val="Arial"/>
    </font>
    <font>
      <sz val="11.0"/>
      <color theme="1"/>
      <name val="Arial"/>
    </font>
    <font>
      <b/>
      <color rgb="FFFFFFFF"/>
      <name val="Arial"/>
    </font>
    <font>
      <b/>
      <color theme="1"/>
      <name val="Arial"/>
    </font>
    <font/>
    <font>
      <color theme="1"/>
      <name val="Arial"/>
      <scheme val="minor"/>
    </font>
    <font>
      <color rgb="FF000000"/>
      <name val="Arial"/>
    </font>
    <font>
      <sz val="10.0"/>
      <color theme="1"/>
      <name val="Arial"/>
    </font>
    <font>
      <sz val="10.0"/>
      <color rgb="FF000000"/>
      <name val="&quot;TikTok Font&quot;"/>
    </font>
  </fonts>
  <fills count="27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CC0000"/>
        <bgColor rgb="FFCC0000"/>
      </patternFill>
    </fill>
    <fill>
      <patternFill patternType="solid">
        <fgColor rgb="FFFFD966"/>
        <bgColor rgb="FFFFD966"/>
      </patternFill>
    </fill>
    <fill>
      <patternFill patternType="solid">
        <fgColor rgb="FFC27BA0"/>
        <bgColor rgb="FFC27BA0"/>
      </patternFill>
    </fill>
    <fill>
      <patternFill patternType="solid">
        <fgColor rgb="FF93C47D"/>
        <bgColor rgb="FF93C47D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8E7CC3"/>
        <bgColor rgb="FF8E7CC3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6AA84F"/>
        <bgColor rgb="FF6AA84F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EAD1DC"/>
        <bgColor rgb="FFEAD1DC"/>
      </patternFill>
    </fill>
    <fill>
      <patternFill patternType="solid">
        <fgColor rgb="FFFF00FF"/>
        <bgColor rgb="FFFF00FF"/>
      </patternFill>
    </fill>
    <fill>
      <patternFill patternType="solid">
        <fgColor rgb="FFF4CCCC"/>
        <bgColor rgb="FFF4CCCC"/>
      </patternFill>
    </fill>
    <fill>
      <patternFill patternType="solid">
        <fgColor rgb="FFD0E0E3"/>
        <bgColor rgb="FFD0E0E3"/>
      </patternFill>
    </fill>
    <fill>
      <patternFill patternType="solid">
        <fgColor theme="9"/>
        <bgColor theme="9"/>
      </patternFill>
    </fill>
    <fill>
      <patternFill patternType="solid">
        <fgColor theme="7"/>
        <bgColor theme="7"/>
      </patternFill>
    </fill>
    <fill>
      <patternFill patternType="solid">
        <fgColor rgb="FFC9DAF8"/>
        <bgColor rgb="FFC9DAF8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bottom"/>
    </xf>
    <xf borderId="1" fillId="2" fontId="1" numFmtId="0" xfId="0" applyAlignment="1" applyBorder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4" fontId="2" numFmtId="0" xfId="0" applyAlignment="1" applyFill="1" applyFont="1">
      <alignment horizontal="center" vertical="bottom"/>
    </xf>
    <xf borderId="1" fillId="0" fontId="3" numFmtId="164" xfId="0" applyAlignment="1" applyBorder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1" fillId="0" fontId="1" numFmtId="4" xfId="0" applyAlignment="1" applyBorder="1" applyFont="1" applyNumberFormat="1">
      <alignment horizontal="center" vertical="bottom"/>
    </xf>
    <xf borderId="1" fillId="0" fontId="1" numFmtId="0" xfId="0" applyAlignment="1" applyBorder="1" applyFont="1">
      <alignment horizontal="center" vertical="bottom"/>
    </xf>
    <xf borderId="2" fillId="0" fontId="1" numFmtId="4" xfId="0" applyAlignment="1" applyBorder="1" applyFont="1" applyNumberFormat="1">
      <alignment horizontal="center" vertical="bottom"/>
    </xf>
    <xf borderId="2" fillId="0" fontId="1" numFmtId="4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vertical="top"/>
    </xf>
    <xf borderId="1" fillId="0" fontId="3" numFmtId="4" xfId="0" applyAlignment="1" applyBorder="1" applyFont="1" applyNumberFormat="1">
      <alignment horizontal="center" vertical="bottom"/>
    </xf>
    <xf borderId="1" fillId="6" fontId="1" numFmtId="0" xfId="0" applyAlignment="1" applyBorder="1" applyFill="1" applyFont="1">
      <alignment horizontal="center" vertical="bottom"/>
    </xf>
    <xf borderId="1" fillId="0" fontId="1" numFmtId="4" xfId="0" applyAlignment="1" applyBorder="1" applyFont="1" applyNumberFormat="1">
      <alignment horizontal="center" readingOrder="0" vertical="bottom"/>
    </xf>
    <xf borderId="1" fillId="7" fontId="1" numFmtId="0" xfId="0" applyAlignment="1" applyBorder="1" applyFill="1" applyFont="1">
      <alignment horizontal="center" vertical="bottom"/>
    </xf>
    <xf borderId="1" fillId="8" fontId="1" numFmtId="0" xfId="0" applyAlignment="1" applyBorder="1" applyFill="1" applyFont="1">
      <alignment horizontal="center" vertical="bottom"/>
    </xf>
    <xf borderId="1" fillId="9" fontId="1" numFmtId="0" xfId="0" applyAlignment="1" applyBorder="1" applyFill="1" applyFont="1">
      <alignment horizontal="center" vertical="bottom"/>
    </xf>
    <xf borderId="1" fillId="10" fontId="1" numFmtId="0" xfId="0" applyAlignment="1" applyBorder="1" applyFill="1" applyFont="1">
      <alignment horizontal="center" vertical="bottom"/>
    </xf>
    <xf borderId="1" fillId="11" fontId="1" numFmtId="0" xfId="0" applyAlignment="1" applyBorder="1" applyFill="1" applyFont="1">
      <alignment horizontal="center" vertical="bottom"/>
    </xf>
    <xf borderId="1" fillId="12" fontId="1" numFmtId="0" xfId="0" applyAlignment="1" applyBorder="1" applyFill="1" applyFont="1">
      <alignment horizontal="center" vertical="bottom"/>
    </xf>
    <xf borderId="0" fillId="13" fontId="1" numFmtId="0" xfId="0" applyAlignment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0" fillId="12" fontId="1" numFmtId="0" xfId="0" applyAlignment="1" applyFon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0" fillId="0" fontId="1" numFmtId="4" xfId="0" applyAlignment="1" applyFont="1" applyNumberFormat="1">
      <alignment horizontal="center" vertical="bottom"/>
    </xf>
    <xf borderId="0" fillId="14" fontId="2" numFmtId="0" xfId="0" applyAlignment="1" applyFill="1" applyFont="1">
      <alignment horizontal="center" vertical="bottom"/>
    </xf>
    <xf borderId="0" fillId="15" fontId="4" numFmtId="0" xfId="0" applyAlignment="1" applyFill="1" applyFont="1">
      <alignment horizontal="center" vertical="bottom"/>
    </xf>
    <xf borderId="4" fillId="12" fontId="1" numFmtId="4" xfId="0" applyAlignment="1" applyBorder="1" applyFont="1" applyNumberFormat="1">
      <alignment horizontal="center" vertical="bottom"/>
    </xf>
    <xf borderId="1" fillId="12" fontId="1" numFmtId="0" xfId="0" applyAlignment="1" applyBorder="1" applyFont="1">
      <alignment horizontal="center" vertical="top"/>
    </xf>
    <xf borderId="1" fillId="12" fontId="1" numFmtId="4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3" fillId="0" fontId="1" numFmtId="0" xfId="0" applyAlignment="1" applyBorder="1" applyFont="1">
      <alignment horizontal="center" shrinkToFit="0" vertical="bottom" wrapText="1"/>
    </xf>
    <xf borderId="5" fillId="0" fontId="1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horizontal="center" shrinkToFit="0" vertical="bottom" wrapText="1"/>
    </xf>
    <xf borderId="6" fillId="0" fontId="1" numFmtId="0" xfId="0" applyAlignment="1" applyBorder="1" applyFont="1">
      <alignment horizontal="center" vertical="bottom"/>
    </xf>
    <xf borderId="0" fillId="0" fontId="5" numFmtId="0" xfId="0" applyAlignment="1" applyFon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0" fontId="1" numFmtId="0" xfId="0" applyAlignment="1" applyBorder="1" applyFont="1">
      <alignment horizontal="center" vertical="bottom"/>
    </xf>
    <xf borderId="7" fillId="16" fontId="1" numFmtId="0" xfId="0" applyAlignment="1" applyBorder="1" applyFill="1" applyFont="1">
      <alignment horizontal="center" vertical="bottom"/>
    </xf>
    <xf borderId="2" fillId="0" fontId="1" numFmtId="2" xfId="0" applyAlignment="1" applyBorder="1" applyFont="1" applyNumberFormat="1">
      <alignment horizontal="center" vertical="bottom"/>
    </xf>
    <xf borderId="8" fillId="0" fontId="1" numFmtId="0" xfId="0" applyAlignment="1" applyBorder="1" applyFont="1">
      <alignment horizontal="center" vertical="bottom"/>
    </xf>
    <xf borderId="8" fillId="0" fontId="6" numFmtId="0" xfId="0" applyBorder="1" applyFont="1"/>
    <xf borderId="7" fillId="8" fontId="1" numFmtId="0" xfId="0" applyAlignment="1" applyBorder="1" applyFont="1">
      <alignment horizontal="center" vertical="bottom"/>
    </xf>
    <xf borderId="2" fillId="0" fontId="6" numFmtId="0" xfId="0" applyBorder="1" applyFont="1"/>
    <xf borderId="8" fillId="16" fontId="1" numFmtId="0" xfId="0" applyAlignment="1" applyBorder="1" applyFont="1">
      <alignment horizontal="center" vertical="bottom"/>
    </xf>
    <xf borderId="8" fillId="8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13" fontId="7" numFmtId="0" xfId="0" applyAlignment="1" applyFont="1">
      <alignment horizontal="center" readingOrder="0"/>
    </xf>
    <xf borderId="0" fillId="0" fontId="7" numFmtId="0" xfId="0" applyAlignment="1" applyFont="1">
      <alignment horizontal="center" readingOrder="0"/>
    </xf>
    <xf borderId="5" fillId="0" fontId="1" numFmtId="0" xfId="0" applyAlignment="1" applyBorder="1" applyFont="1">
      <alignment horizontal="center" vertical="bottom"/>
    </xf>
    <xf borderId="9" fillId="0" fontId="6" numFmtId="0" xfId="0" applyBorder="1" applyFont="1"/>
    <xf borderId="3" fillId="0" fontId="6" numFmtId="0" xfId="0" applyBorder="1" applyFont="1"/>
    <xf borderId="1" fillId="0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 readingOrder="0" vertical="bottom"/>
    </xf>
    <xf borderId="1" fillId="17" fontId="1" numFmtId="0" xfId="0" applyAlignment="1" applyBorder="1" applyFill="1" applyFont="1">
      <alignment horizontal="center" readingOrder="0" vertical="bottom"/>
    </xf>
    <xf borderId="1" fillId="17" fontId="1" numFmtId="3" xfId="0" applyAlignment="1" applyBorder="1" applyFont="1" applyNumberFormat="1">
      <alignment horizontal="center" readingOrder="0" vertical="bottom"/>
    </xf>
    <xf borderId="1" fillId="17" fontId="1" numFmtId="0" xfId="0" applyAlignment="1" applyBorder="1" applyFont="1">
      <alignment horizontal="center" vertical="bottom"/>
    </xf>
    <xf borderId="1" fillId="17" fontId="1" numFmtId="0" xfId="0" applyAlignment="1" applyBorder="1" applyFont="1">
      <alignment horizontal="center" vertical="bottom"/>
    </xf>
    <xf borderId="0" fillId="13" fontId="7" numFmtId="165" xfId="0" applyAlignment="1" applyFont="1" applyNumberFormat="1">
      <alignment horizontal="center" readingOrder="0"/>
    </xf>
    <xf borderId="0" fillId="13" fontId="1" numFmtId="0" xfId="0" applyAlignment="1" applyFont="1">
      <alignment horizontal="center" readingOrder="0" vertical="bottom"/>
    </xf>
    <xf borderId="1" fillId="17" fontId="8" numFmtId="0" xfId="0" applyAlignment="1" applyBorder="1" applyFont="1">
      <alignment horizontal="center" vertical="bottom"/>
    </xf>
    <xf borderId="1" fillId="17" fontId="8" numFmtId="0" xfId="0" applyAlignment="1" applyBorder="1" applyFont="1">
      <alignment horizontal="center" readingOrder="0" vertical="bottom"/>
    </xf>
    <xf borderId="1" fillId="17" fontId="8" numFmtId="0" xfId="0" applyAlignment="1" applyBorder="1" applyFont="1">
      <alignment horizontal="center" vertical="bottom"/>
    </xf>
    <xf borderId="1" fillId="17" fontId="1" numFmtId="166" xfId="0" applyAlignment="1" applyBorder="1" applyFont="1" applyNumberFormat="1">
      <alignment horizontal="center" vertical="bottom"/>
    </xf>
    <xf borderId="1" fillId="17" fontId="7" numFmtId="3" xfId="0" applyAlignment="1" applyBorder="1" applyFont="1" applyNumberFormat="1">
      <alignment horizontal="center" readingOrder="0"/>
    </xf>
    <xf borderId="0" fillId="13" fontId="7" numFmtId="0" xfId="0" applyAlignment="1" applyFont="1">
      <alignment horizontal="center"/>
    </xf>
    <xf borderId="5" fillId="0" fontId="1" numFmtId="0" xfId="0" applyAlignment="1" applyBorder="1" applyFont="1">
      <alignment horizontal="center" readingOrder="0" vertical="bottom"/>
    </xf>
    <xf borderId="1" fillId="18" fontId="1" numFmtId="0" xfId="0" applyAlignment="1" applyBorder="1" applyFill="1" applyFont="1">
      <alignment horizontal="center"/>
    </xf>
    <xf borderId="1" fillId="17" fontId="1" numFmtId="165" xfId="0" applyAlignment="1" applyBorder="1" applyFont="1" applyNumberFormat="1">
      <alignment horizontal="center" readingOrder="0" vertical="center"/>
    </xf>
    <xf borderId="1" fillId="17" fontId="7" numFmtId="0" xfId="0" applyAlignment="1" applyBorder="1" applyFont="1">
      <alignment horizontal="center" readingOrder="0"/>
    </xf>
    <xf borderId="5" fillId="17" fontId="1" numFmtId="0" xfId="0" applyAlignment="1" applyBorder="1" applyFont="1">
      <alignment horizontal="center" vertical="bottom"/>
    </xf>
    <xf borderId="1" fillId="19" fontId="1" numFmtId="0" xfId="0" applyAlignment="1" applyBorder="1" applyFill="1" applyFont="1">
      <alignment horizontal="center"/>
    </xf>
    <xf borderId="0" fillId="17" fontId="7" numFmtId="0" xfId="0" applyAlignment="1" applyFont="1">
      <alignment horizontal="center"/>
    </xf>
    <xf borderId="1" fillId="20" fontId="1" numFmtId="0" xfId="0" applyAlignment="1" applyBorder="1" applyFill="1" applyFont="1">
      <alignment horizontal="center" readingOrder="0" vertical="bottom"/>
    </xf>
    <xf borderId="1" fillId="21" fontId="1" numFmtId="165" xfId="0" applyAlignment="1" applyBorder="1" applyFill="1" applyFont="1" applyNumberFormat="1">
      <alignment horizontal="center" readingOrder="0" vertical="bottom"/>
    </xf>
    <xf borderId="1" fillId="21" fontId="1" numFmtId="0" xfId="0" applyAlignment="1" applyBorder="1" applyFont="1">
      <alignment horizontal="center" readingOrder="0" vertical="bottom"/>
    </xf>
    <xf borderId="1" fillId="21" fontId="1" numFmtId="165" xfId="0" applyAlignment="1" applyBorder="1" applyFont="1" applyNumberFormat="1">
      <alignment horizontal="center" vertical="bottom"/>
    </xf>
    <xf borderId="1" fillId="17" fontId="1" numFmtId="0" xfId="0" applyAlignment="1" applyBorder="1" applyFont="1">
      <alignment horizontal="center" vertical="center"/>
    </xf>
    <xf borderId="1" fillId="17" fontId="1" numFmtId="0" xfId="0" applyAlignment="1" applyBorder="1" applyFont="1">
      <alignment horizontal="center" readingOrder="0" vertical="center"/>
    </xf>
    <xf borderId="1" fillId="22" fontId="1" numFmtId="0" xfId="0" applyAlignment="1" applyBorder="1" applyFill="1" applyFont="1">
      <alignment horizontal="center" vertical="center"/>
    </xf>
    <xf borderId="1" fillId="13" fontId="1" numFmtId="0" xfId="0" applyAlignment="1" applyBorder="1" applyFont="1">
      <alignment horizontal="center" vertical="bottom"/>
    </xf>
    <xf borderId="0" fillId="0" fontId="7" numFmtId="3" xfId="0" applyAlignment="1" applyFont="1" applyNumberFormat="1">
      <alignment horizontal="center" readingOrder="0"/>
    </xf>
    <xf borderId="1" fillId="0" fontId="7" numFmtId="0" xfId="0" applyAlignment="1" applyBorder="1" applyFont="1">
      <alignment horizontal="center" readingOrder="0" vertical="center"/>
    </xf>
    <xf borderId="1" fillId="20" fontId="7" numFmtId="0" xfId="0" applyAlignment="1" applyBorder="1" applyFont="1">
      <alignment horizontal="center" readingOrder="0"/>
    </xf>
    <xf borderId="1" fillId="3" fontId="7" numFmtId="165" xfId="0" applyAlignment="1" applyBorder="1" applyFont="1" applyNumberFormat="1">
      <alignment horizontal="center" readingOrder="0" vertical="center"/>
    </xf>
    <xf borderId="1" fillId="3" fontId="7" numFmtId="0" xfId="0" applyAlignment="1" applyBorder="1" applyFont="1">
      <alignment horizontal="center" readingOrder="0" vertical="center"/>
    </xf>
    <xf borderId="1" fillId="3" fontId="7" numFmtId="4" xfId="0" applyAlignment="1" applyBorder="1" applyFont="1" applyNumberFormat="1">
      <alignment horizontal="center" readingOrder="0"/>
    </xf>
    <xf borderId="1" fillId="3" fontId="7" numFmtId="0" xfId="0" applyAlignment="1" applyBorder="1" applyFont="1">
      <alignment horizontal="center" readingOrder="0"/>
    </xf>
    <xf borderId="1" fillId="3" fontId="7" numFmtId="0" xfId="0" applyAlignment="1" applyBorder="1" applyFont="1">
      <alignment horizontal="center"/>
    </xf>
    <xf borderId="1" fillId="0" fontId="7" numFmtId="0" xfId="0" applyAlignment="1" applyBorder="1" applyFont="1">
      <alignment horizontal="center" readingOrder="0"/>
    </xf>
    <xf borderId="1" fillId="3" fontId="7" numFmtId="3" xfId="0" applyAlignment="1" applyBorder="1" applyFont="1" applyNumberFormat="1">
      <alignment horizontal="center" readingOrder="0"/>
    </xf>
    <xf borderId="10" fillId="20" fontId="7" numFmtId="0" xfId="0" applyAlignment="1" applyBorder="1" applyFont="1">
      <alignment horizontal="center" readingOrder="0" vertical="center"/>
    </xf>
    <xf borderId="10" fillId="3" fontId="7" numFmtId="165" xfId="0" applyAlignment="1" applyBorder="1" applyFont="1" applyNumberFormat="1">
      <alignment horizontal="center" readingOrder="0" vertical="center"/>
    </xf>
    <xf borderId="10" fillId="3" fontId="7" numFmtId="0" xfId="0" applyAlignment="1" applyBorder="1" applyFont="1">
      <alignment horizontal="center" readingOrder="0" vertical="center"/>
    </xf>
    <xf borderId="10" fillId="3" fontId="7" numFmtId="4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10" fillId="22" fontId="7" numFmtId="0" xfId="0" applyAlignment="1" applyBorder="1" applyFont="1">
      <alignment horizontal="center" readingOrder="0" vertical="center"/>
    </xf>
    <xf borderId="10" fillId="3" fontId="7" numFmtId="3" xfId="0" applyAlignment="1" applyBorder="1" applyFont="1" applyNumberFormat="1">
      <alignment horizontal="center" readingOrder="0" vertical="center"/>
    </xf>
    <xf borderId="0" fillId="0" fontId="9" numFmtId="4" xfId="0" applyAlignment="1" applyFont="1" applyNumberFormat="1">
      <alignment horizontal="center" vertical="bottom"/>
    </xf>
    <xf borderId="0" fillId="3" fontId="1" numFmtId="0" xfId="0" applyAlignment="1" applyFont="1">
      <alignment horizontal="center" vertical="bottom"/>
    </xf>
    <xf borderId="1" fillId="3" fontId="1" numFmtId="0" xfId="0" applyAlignment="1" applyBorder="1" applyFont="1">
      <alignment horizontal="center"/>
    </xf>
    <xf borderId="1" fillId="3" fontId="1" numFmtId="165" xfId="0" applyAlignment="1" applyBorder="1" applyFont="1" applyNumberFormat="1">
      <alignment horizontal="center"/>
    </xf>
    <xf borderId="1" fillId="3" fontId="1" numFmtId="0" xfId="0" applyAlignment="1" applyBorder="1" applyFont="1">
      <alignment horizontal="center" vertical="bottom"/>
    </xf>
    <xf borderId="1" fillId="3" fontId="1" numFmtId="0" xfId="0" applyAlignment="1" applyBorder="1" applyFont="1">
      <alignment horizontal="center" readingOrder="0"/>
    </xf>
    <xf borderId="0" fillId="0" fontId="7" numFmtId="4" xfId="0" applyAlignment="1" applyFont="1" applyNumberFormat="1">
      <alignment horizontal="center"/>
    </xf>
    <xf borderId="1" fillId="3" fontId="1" numFmtId="0" xfId="0" applyAlignment="1" applyBorder="1" applyFont="1">
      <alignment horizontal="center"/>
    </xf>
    <xf borderId="1" fillId="3" fontId="1" numFmtId="4" xfId="0" applyAlignment="1" applyBorder="1" applyFont="1" applyNumberFormat="1">
      <alignment horizontal="center" vertical="bottom"/>
    </xf>
    <xf borderId="1" fillId="3" fontId="1" numFmtId="0" xfId="0" applyAlignment="1" applyBorder="1" applyFont="1">
      <alignment vertical="bottom"/>
    </xf>
    <xf borderId="1" fillId="19" fontId="7" numFmtId="0" xfId="0" applyAlignment="1" applyBorder="1" applyFont="1">
      <alignment horizontal="center" readingOrder="0"/>
    </xf>
    <xf borderId="1" fillId="3" fontId="1" numFmtId="165" xfId="0" applyAlignment="1" applyBorder="1" applyFont="1" applyNumberFormat="1">
      <alignment horizontal="center" vertical="bottom"/>
    </xf>
    <xf borderId="1" fillId="19" fontId="7" numFmtId="165" xfId="0" applyAlignment="1" applyBorder="1" applyFont="1" applyNumberFormat="1">
      <alignment horizontal="center" readingOrder="0" vertical="center"/>
    </xf>
    <xf borderId="1" fillId="3" fontId="1" numFmtId="3" xfId="0" applyAlignment="1" applyBorder="1" applyFont="1" applyNumberFormat="1">
      <alignment horizontal="center" vertical="bottom"/>
    </xf>
    <xf borderId="1" fillId="0" fontId="7" numFmtId="4" xfId="0" applyAlignment="1" applyBorder="1" applyFont="1" applyNumberFormat="1">
      <alignment horizontal="center" readingOrder="0"/>
    </xf>
    <xf borderId="1" fillId="13" fontId="10" numFmtId="4" xfId="0" applyAlignment="1" applyBorder="1" applyFont="1" applyNumberFormat="1">
      <alignment horizontal="center" readingOrder="0"/>
    </xf>
    <xf borderId="1" fillId="3" fontId="1" numFmtId="4" xfId="0" applyAlignment="1" applyBorder="1" applyFont="1" applyNumberFormat="1">
      <alignment horizontal="center"/>
    </xf>
    <xf borderId="0" fillId="15" fontId="9" numFmtId="4" xfId="0" applyAlignment="1" applyFont="1" applyNumberFormat="1">
      <alignment horizontal="center" vertical="bottom"/>
    </xf>
    <xf borderId="1" fillId="0" fontId="7" numFmtId="167" xfId="0" applyAlignment="1" applyBorder="1" applyFont="1" applyNumberFormat="1">
      <alignment horizontal="center" readingOrder="0"/>
    </xf>
    <xf borderId="1" fillId="23" fontId="1" numFmtId="0" xfId="0" applyAlignment="1" applyBorder="1" applyFill="1" applyFont="1">
      <alignment horizontal="center" vertical="bottom"/>
    </xf>
    <xf borderId="1" fillId="23" fontId="1" numFmtId="0" xfId="0" applyAlignment="1" applyBorder="1" applyFont="1">
      <alignment horizontal="center" vertical="bottom"/>
    </xf>
    <xf borderId="1" fillId="13" fontId="1" numFmtId="0" xfId="0" applyAlignment="1" applyBorder="1" applyFont="1">
      <alignment horizontal="center" vertical="bottom"/>
    </xf>
    <xf borderId="1" fillId="13" fontId="1" numFmtId="0" xfId="0" applyAlignment="1" applyBorder="1" applyFont="1">
      <alignment horizontal="center" readingOrder="0" vertical="bottom"/>
    </xf>
    <xf borderId="1" fillId="0" fontId="7" numFmtId="3" xfId="0" applyAlignment="1" applyBorder="1" applyFont="1" applyNumberFormat="1">
      <alignment horizontal="center" readingOrder="0"/>
    </xf>
    <xf borderId="1" fillId="13" fontId="1" numFmtId="3" xfId="0" applyAlignment="1" applyBorder="1" applyFont="1" applyNumberFormat="1">
      <alignment horizontal="center" readingOrder="0" vertical="bottom"/>
    </xf>
    <xf borderId="5" fillId="13" fontId="1" numFmtId="0" xfId="0" applyAlignment="1" applyBorder="1" applyFont="1">
      <alignment horizontal="center" readingOrder="0" vertical="bottom"/>
    </xf>
    <xf borderId="5" fillId="13" fontId="1" numFmtId="0" xfId="0" applyAlignment="1" applyBorder="1" applyFont="1">
      <alignment horizontal="center"/>
    </xf>
    <xf borderId="5" fillId="13" fontId="1" numFmtId="0" xfId="0" applyAlignment="1" applyBorder="1" applyFont="1">
      <alignment horizontal="center" vertical="bottom"/>
    </xf>
    <xf borderId="1" fillId="19" fontId="1" numFmtId="165" xfId="0" applyAlignment="1" applyBorder="1" applyFont="1" applyNumberFormat="1">
      <alignment horizontal="center" readingOrder="0" vertical="center"/>
    </xf>
    <xf borderId="1" fillId="19" fontId="1" numFmtId="0" xfId="0" applyAlignment="1" applyBorder="1" applyFont="1">
      <alignment horizontal="center" readingOrder="0" vertical="bottom"/>
    </xf>
    <xf borderId="1" fillId="0" fontId="7" numFmtId="0" xfId="0" applyAlignment="1" applyBorder="1" applyFont="1">
      <alignment horizontal="center"/>
    </xf>
    <xf borderId="1" fillId="13" fontId="1" numFmtId="165" xfId="0" applyAlignment="1" applyBorder="1" applyFont="1" applyNumberFormat="1">
      <alignment horizontal="center" readingOrder="0" vertical="center"/>
    </xf>
    <xf borderId="10" fillId="13" fontId="1" numFmtId="3" xfId="0" applyAlignment="1" applyBorder="1" applyFont="1" applyNumberFormat="1">
      <alignment horizontal="center" readingOrder="0" vertical="center"/>
    </xf>
    <xf borderId="7" fillId="0" fontId="6" numFmtId="0" xfId="0" applyBorder="1" applyFont="1"/>
    <xf borderId="1" fillId="22" fontId="1" numFmtId="0" xfId="0" applyAlignment="1" applyBorder="1" applyFont="1">
      <alignment horizontal="center" readingOrder="0" vertical="bottom"/>
    </xf>
    <xf borderId="1" fillId="22" fontId="1" numFmtId="165" xfId="0" applyAlignment="1" applyBorder="1" applyFont="1" applyNumberFormat="1">
      <alignment horizontal="center" readingOrder="0" vertical="center"/>
    </xf>
    <xf borderId="1" fillId="19" fontId="1" numFmtId="0" xfId="0" applyAlignment="1" applyBorder="1" applyFont="1">
      <alignment horizontal="center" readingOrder="0" vertical="center"/>
    </xf>
    <xf borderId="1" fillId="13" fontId="1" numFmtId="165" xfId="0" applyAlignment="1" applyBorder="1" applyFont="1" applyNumberFormat="1">
      <alignment horizontal="center" vertical="bottom"/>
    </xf>
    <xf borderId="1" fillId="13" fontId="1" numFmtId="0" xfId="0" applyAlignment="1" applyBorder="1" applyFont="1">
      <alignment horizontal="center" vertical="center"/>
    </xf>
    <xf borderId="1" fillId="13" fontId="7" numFmtId="0" xfId="0" applyAlignment="1" applyBorder="1" applyFont="1">
      <alignment horizontal="center" readingOrder="0"/>
    </xf>
    <xf borderId="1" fillId="24" fontId="7" numFmtId="0" xfId="0" applyAlignment="1" applyBorder="1" applyFill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3" fontId="7" numFmtId="0" xfId="0" applyAlignment="1" applyFont="1">
      <alignment horizontal="center" readingOrder="0"/>
    </xf>
    <xf borderId="1" fillId="25" fontId="7" numFmtId="165" xfId="0" applyAlignment="1" applyBorder="1" applyFill="1" applyFont="1" applyNumberFormat="1">
      <alignment horizontal="center" readingOrder="0" vertical="center"/>
    </xf>
    <xf borderId="1" fillId="25" fontId="7" numFmtId="0" xfId="0" applyAlignment="1" applyBorder="1" applyFont="1">
      <alignment horizontal="center" readingOrder="0" vertical="center"/>
    </xf>
    <xf borderId="1" fillId="25" fontId="7" numFmtId="4" xfId="0" applyAlignment="1" applyBorder="1" applyFont="1" applyNumberFormat="1">
      <alignment horizontal="center" readingOrder="0"/>
    </xf>
    <xf borderId="1" fillId="25" fontId="7" numFmtId="0" xfId="0" applyAlignment="1" applyBorder="1" applyFont="1">
      <alignment horizontal="center" readingOrder="0"/>
    </xf>
    <xf borderId="1" fillId="25" fontId="7" numFmtId="0" xfId="0" applyAlignment="1" applyBorder="1" applyFont="1">
      <alignment horizontal="center"/>
    </xf>
    <xf borderId="1" fillId="25" fontId="7" numFmtId="3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horizontal="center"/>
    </xf>
    <xf borderId="1" fillId="19" fontId="7" numFmtId="0" xfId="0" applyAlignment="1" applyBorder="1" applyFont="1">
      <alignment horizontal="center" readingOrder="0" vertical="center"/>
    </xf>
    <xf borderId="1" fillId="0" fontId="7" numFmtId="165" xfId="0" applyAlignment="1" applyBorder="1" applyFont="1" applyNumberFormat="1">
      <alignment horizontal="center" readingOrder="0" vertical="center"/>
    </xf>
    <xf borderId="5" fillId="22" fontId="7" numFmtId="0" xfId="0" applyAlignment="1" applyBorder="1" applyFont="1">
      <alignment horizontal="center"/>
    </xf>
    <xf borderId="1" fillId="9" fontId="7" numFmtId="0" xfId="0" applyAlignment="1" applyBorder="1" applyFont="1">
      <alignment horizontal="center" readingOrder="0" vertical="center"/>
    </xf>
    <xf borderId="1" fillId="25" fontId="1" numFmtId="0" xfId="0" applyAlignment="1" applyBorder="1" applyFont="1">
      <alignment horizontal="center"/>
    </xf>
    <xf borderId="1" fillId="13" fontId="1" numFmtId="0" xfId="0" applyAlignment="1" applyBorder="1" applyFont="1">
      <alignment horizontal="center"/>
    </xf>
    <xf borderId="0" fillId="0" fontId="1" numFmtId="3" xfId="0" applyAlignment="1" applyFont="1" applyNumberFormat="1">
      <alignment horizontal="center" readingOrder="0" vertical="bottom"/>
    </xf>
    <xf borderId="0" fillId="19" fontId="7" numFmtId="0" xfId="0" applyAlignment="1" applyFont="1">
      <alignment horizontal="center"/>
    </xf>
    <xf borderId="0" fillId="26" fontId="7" numFmtId="0" xfId="0" applyAlignment="1" applyFill="1" applyFont="1">
      <alignment horizontal="center"/>
    </xf>
    <xf borderId="4" fillId="0" fontId="9" numFmtId="4" xfId="0" applyAlignment="1" applyBorder="1" applyFont="1" applyNumberFormat="1">
      <alignment horizontal="center" vertical="bottom"/>
    </xf>
    <xf borderId="1" fillId="0" fontId="9" numFmtId="4" xfId="0" applyAlignment="1" applyBorder="1" applyFont="1" applyNumberFormat="1">
      <alignment horizontal="center" vertical="bottom"/>
    </xf>
    <xf borderId="1" fillId="13" fontId="1" numFmtId="166" xfId="0" applyAlignment="1" applyBorder="1" applyFont="1" applyNumberFormat="1">
      <alignment horizontal="center" vertical="bottom"/>
    </xf>
    <xf borderId="0" fillId="0" fontId="7" numFmtId="3" xfId="0" applyAlignment="1" applyFont="1" applyNumberFormat="1">
      <alignment horizontal="center"/>
    </xf>
    <xf borderId="1" fillId="13" fontId="1" numFmtId="0" xfId="0" applyAlignment="1" applyBorder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4</v>
      </c>
      <c r="H1" s="3" t="s">
        <v>5</v>
      </c>
      <c r="I1" s="3" t="s">
        <v>4</v>
      </c>
      <c r="J1" s="3" t="s">
        <v>5</v>
      </c>
      <c r="K1" s="3" t="s">
        <v>4</v>
      </c>
      <c r="L1" s="3" t="s">
        <v>5</v>
      </c>
      <c r="M1" s="3" t="s">
        <v>4</v>
      </c>
      <c r="N1" s="3" t="s">
        <v>5</v>
      </c>
      <c r="O1" s="3" t="s">
        <v>4</v>
      </c>
      <c r="P1" s="3" t="s">
        <v>5</v>
      </c>
      <c r="Q1" s="3" t="s">
        <v>4</v>
      </c>
      <c r="R1" s="3" t="s">
        <v>5</v>
      </c>
      <c r="S1" s="3" t="s">
        <v>4</v>
      </c>
      <c r="T1" s="3" t="s">
        <v>5</v>
      </c>
      <c r="U1" s="3" t="s">
        <v>4</v>
      </c>
      <c r="V1" s="3" t="s">
        <v>5</v>
      </c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>
        <v>1.0</v>
      </c>
      <c r="B2" s="5" t="s">
        <v>6</v>
      </c>
      <c r="C2" s="6">
        <v>46082.0</v>
      </c>
      <c r="D2" s="7" t="s">
        <v>7</v>
      </c>
      <c r="E2" s="8" t="s">
        <v>8</v>
      </c>
      <c r="F2" s="8"/>
      <c r="G2" s="9" t="s">
        <v>9</v>
      </c>
      <c r="H2" s="10"/>
      <c r="I2" s="9" t="s">
        <v>10</v>
      </c>
      <c r="J2" s="11" t="s">
        <v>11</v>
      </c>
      <c r="K2" s="9" t="s">
        <v>12</v>
      </c>
      <c r="L2" s="10"/>
      <c r="M2" s="9" t="s">
        <v>13</v>
      </c>
      <c r="N2" s="8"/>
      <c r="O2" s="9" t="s">
        <v>14</v>
      </c>
      <c r="P2" s="10"/>
      <c r="Q2" s="12" t="s">
        <v>15</v>
      </c>
      <c r="R2" s="8"/>
      <c r="S2" s="8" t="s">
        <v>16</v>
      </c>
      <c r="T2" s="8"/>
      <c r="U2" s="13" t="s">
        <v>17</v>
      </c>
      <c r="V2" s="9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>
        <v>2.0</v>
      </c>
      <c r="B3" s="5" t="s">
        <v>6</v>
      </c>
      <c r="C3" s="6">
        <v>46083.0</v>
      </c>
      <c r="D3" s="14" t="s">
        <v>18</v>
      </c>
      <c r="E3" s="8" t="s">
        <v>8</v>
      </c>
      <c r="F3" s="8"/>
      <c r="G3" s="9" t="s">
        <v>9</v>
      </c>
      <c r="H3" s="10"/>
      <c r="I3" s="9" t="s">
        <v>10</v>
      </c>
      <c r="J3" s="10"/>
      <c r="K3" s="9" t="s">
        <v>12</v>
      </c>
      <c r="L3" s="10"/>
      <c r="M3" s="9" t="s">
        <v>13</v>
      </c>
      <c r="N3" s="8"/>
      <c r="O3" s="9" t="s">
        <v>14</v>
      </c>
      <c r="P3" s="15"/>
      <c r="Q3" s="12" t="s">
        <v>15</v>
      </c>
      <c r="R3" s="15"/>
      <c r="S3" s="8" t="s">
        <v>16</v>
      </c>
      <c r="T3" s="8"/>
      <c r="U3" s="13" t="s">
        <v>17</v>
      </c>
      <c r="V3" s="15" t="s">
        <v>11</v>
      </c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>
        <v>3.0</v>
      </c>
      <c r="B4" s="5" t="s">
        <v>6</v>
      </c>
      <c r="C4" s="6">
        <v>46084.0</v>
      </c>
      <c r="D4" s="16" t="s">
        <v>19</v>
      </c>
      <c r="E4" s="8" t="s">
        <v>8</v>
      </c>
      <c r="F4" s="8"/>
      <c r="G4" s="9" t="s">
        <v>9</v>
      </c>
      <c r="H4" s="10"/>
      <c r="I4" s="9" t="s">
        <v>10</v>
      </c>
      <c r="J4" s="11" t="s">
        <v>11</v>
      </c>
      <c r="K4" s="9" t="s">
        <v>12</v>
      </c>
      <c r="L4" s="10"/>
      <c r="M4" s="9" t="s">
        <v>13</v>
      </c>
      <c r="N4" s="8"/>
      <c r="O4" s="9" t="s">
        <v>14</v>
      </c>
      <c r="P4" s="10"/>
      <c r="Q4" s="12" t="s">
        <v>15</v>
      </c>
      <c r="R4" s="15"/>
      <c r="S4" s="8" t="s">
        <v>16</v>
      </c>
      <c r="T4" s="8"/>
      <c r="U4" s="13" t="s">
        <v>17</v>
      </c>
      <c r="V4" s="9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>
        <v>4.0</v>
      </c>
      <c r="B5" s="5" t="s">
        <v>6</v>
      </c>
      <c r="C5" s="6">
        <v>46085.0</v>
      </c>
      <c r="D5" s="17" t="s">
        <v>20</v>
      </c>
      <c r="E5" s="8" t="s">
        <v>8</v>
      </c>
      <c r="F5" s="8"/>
      <c r="G5" s="9" t="s">
        <v>9</v>
      </c>
      <c r="H5" s="10"/>
      <c r="I5" s="9" t="s">
        <v>10</v>
      </c>
      <c r="J5" s="11" t="s">
        <v>11</v>
      </c>
      <c r="K5" s="9" t="s">
        <v>12</v>
      </c>
      <c r="L5" s="10"/>
      <c r="M5" s="9" t="s">
        <v>13</v>
      </c>
      <c r="N5" s="8"/>
      <c r="O5" s="9" t="s">
        <v>14</v>
      </c>
      <c r="P5" s="10"/>
      <c r="Q5" s="12" t="s">
        <v>15</v>
      </c>
      <c r="R5" s="8"/>
      <c r="S5" s="8" t="s">
        <v>16</v>
      </c>
      <c r="T5" s="8"/>
      <c r="U5" s="13" t="s">
        <v>17</v>
      </c>
      <c r="V5" s="9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>
        <v>5.0</v>
      </c>
      <c r="B6" s="5" t="s">
        <v>6</v>
      </c>
      <c r="C6" s="6">
        <v>46086.0</v>
      </c>
      <c r="D6" s="18" t="s">
        <v>21</v>
      </c>
      <c r="E6" s="8" t="s">
        <v>8</v>
      </c>
      <c r="F6" s="8"/>
      <c r="G6" s="9" t="s">
        <v>9</v>
      </c>
      <c r="H6" s="10"/>
      <c r="I6" s="9" t="s">
        <v>10</v>
      </c>
      <c r="J6" s="11" t="s">
        <v>11</v>
      </c>
      <c r="K6" s="9" t="s">
        <v>12</v>
      </c>
      <c r="L6" s="10"/>
      <c r="M6" s="9" t="s">
        <v>13</v>
      </c>
      <c r="N6" s="8"/>
      <c r="O6" s="9" t="s">
        <v>14</v>
      </c>
      <c r="P6" s="10"/>
      <c r="Q6" s="12" t="s">
        <v>15</v>
      </c>
      <c r="R6" s="8"/>
      <c r="S6" s="8" t="s">
        <v>16</v>
      </c>
      <c r="T6" s="8"/>
      <c r="U6" s="13" t="s">
        <v>17</v>
      </c>
      <c r="V6" s="9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>
        <v>6.0</v>
      </c>
      <c r="B7" s="5" t="s">
        <v>6</v>
      </c>
      <c r="C7" s="6">
        <v>46087.0</v>
      </c>
      <c r="D7" s="19" t="s">
        <v>22</v>
      </c>
      <c r="E7" s="8" t="s">
        <v>8</v>
      </c>
      <c r="F7" s="8"/>
      <c r="G7" s="9" t="s">
        <v>9</v>
      </c>
      <c r="H7" s="10"/>
      <c r="I7" s="9" t="s">
        <v>10</v>
      </c>
      <c r="J7" s="11" t="s">
        <v>11</v>
      </c>
      <c r="K7" s="9" t="s">
        <v>12</v>
      </c>
      <c r="L7" s="10"/>
      <c r="M7" s="9" t="s">
        <v>13</v>
      </c>
      <c r="N7" s="8"/>
      <c r="O7" s="9" t="s">
        <v>14</v>
      </c>
      <c r="P7" s="10"/>
      <c r="Q7" s="12" t="s">
        <v>15</v>
      </c>
      <c r="R7" s="8"/>
      <c r="S7" s="8" t="s">
        <v>16</v>
      </c>
      <c r="T7" s="8"/>
      <c r="U7" s="13" t="s">
        <v>17</v>
      </c>
      <c r="V7" s="9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>
        <v>7.0</v>
      </c>
      <c r="B8" s="5" t="s">
        <v>6</v>
      </c>
      <c r="C8" s="6">
        <v>46088.0</v>
      </c>
      <c r="D8" s="20" t="s">
        <v>23</v>
      </c>
      <c r="E8" s="8" t="s">
        <v>8</v>
      </c>
      <c r="F8" s="8"/>
      <c r="G8" s="9" t="s">
        <v>9</v>
      </c>
      <c r="H8" s="8"/>
      <c r="I8" s="9" t="s">
        <v>10</v>
      </c>
      <c r="J8" s="15" t="s">
        <v>11</v>
      </c>
      <c r="K8" s="9" t="s">
        <v>24</v>
      </c>
      <c r="L8" s="8"/>
      <c r="M8" s="9" t="s">
        <v>14</v>
      </c>
      <c r="N8" s="8"/>
      <c r="O8" s="9" t="s">
        <v>25</v>
      </c>
      <c r="P8" s="10"/>
      <c r="Q8" s="12" t="s">
        <v>26</v>
      </c>
      <c r="R8" s="10"/>
      <c r="S8" s="8" t="s">
        <v>17</v>
      </c>
      <c r="T8" s="8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>
        <v>8.0</v>
      </c>
      <c r="B9" s="5" t="s">
        <v>6</v>
      </c>
      <c r="C9" s="6">
        <v>46089.0</v>
      </c>
      <c r="D9" s="7" t="s">
        <v>7</v>
      </c>
      <c r="E9" s="8" t="s">
        <v>8</v>
      </c>
      <c r="F9" s="8"/>
      <c r="G9" s="9" t="s">
        <v>9</v>
      </c>
      <c r="H9" s="8"/>
      <c r="I9" s="9" t="s">
        <v>10</v>
      </c>
      <c r="J9" s="8"/>
      <c r="K9" s="9" t="s">
        <v>24</v>
      </c>
      <c r="L9" s="8"/>
      <c r="M9" s="9" t="s">
        <v>14</v>
      </c>
      <c r="N9" s="8"/>
      <c r="O9" s="9" t="s">
        <v>25</v>
      </c>
      <c r="P9" s="10"/>
      <c r="Q9" s="12" t="s">
        <v>26</v>
      </c>
      <c r="R9" s="8"/>
      <c r="S9" s="8" t="s">
        <v>17</v>
      </c>
      <c r="T9" s="8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>
        <v>9.0</v>
      </c>
      <c r="B10" s="5" t="s">
        <v>6</v>
      </c>
      <c r="C10" s="6">
        <v>46090.0</v>
      </c>
      <c r="D10" s="14" t="s">
        <v>18</v>
      </c>
      <c r="E10" s="8" t="s">
        <v>8</v>
      </c>
      <c r="F10" s="8"/>
      <c r="G10" s="9" t="s">
        <v>9</v>
      </c>
      <c r="H10" s="8"/>
      <c r="I10" s="9" t="s">
        <v>10</v>
      </c>
      <c r="J10" s="15" t="s">
        <v>11</v>
      </c>
      <c r="K10" s="9" t="s">
        <v>24</v>
      </c>
      <c r="L10" s="8"/>
      <c r="M10" s="9" t="s">
        <v>14</v>
      </c>
      <c r="N10" s="10"/>
      <c r="O10" s="9" t="s">
        <v>25</v>
      </c>
      <c r="P10" s="10"/>
      <c r="Q10" s="12" t="s">
        <v>26</v>
      </c>
      <c r="R10" s="8"/>
      <c r="S10" s="8" t="s">
        <v>17</v>
      </c>
      <c r="T10" s="8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>
        <v>10.0</v>
      </c>
      <c r="B11" s="5" t="s">
        <v>6</v>
      </c>
      <c r="C11" s="6">
        <v>46091.0</v>
      </c>
      <c r="D11" s="16" t="s">
        <v>19</v>
      </c>
      <c r="E11" s="8" t="s">
        <v>8</v>
      </c>
      <c r="F11" s="8"/>
      <c r="G11" s="9" t="s">
        <v>9</v>
      </c>
      <c r="H11" s="8"/>
      <c r="I11" s="9" t="s">
        <v>10</v>
      </c>
      <c r="J11" s="15" t="s">
        <v>11</v>
      </c>
      <c r="K11" s="9" t="s">
        <v>24</v>
      </c>
      <c r="L11" s="8"/>
      <c r="M11" s="9" t="s">
        <v>14</v>
      </c>
      <c r="N11" s="10"/>
      <c r="O11" s="9" t="s">
        <v>25</v>
      </c>
      <c r="P11" s="10"/>
      <c r="Q11" s="12" t="s">
        <v>26</v>
      </c>
      <c r="R11" s="8"/>
      <c r="S11" s="8" t="s">
        <v>17</v>
      </c>
      <c r="T11" s="8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>
        <v>11.0</v>
      </c>
      <c r="B12" s="5" t="s">
        <v>6</v>
      </c>
      <c r="C12" s="6">
        <v>46092.0</v>
      </c>
      <c r="D12" s="17" t="s">
        <v>20</v>
      </c>
      <c r="E12" s="8" t="s">
        <v>8</v>
      </c>
      <c r="F12" s="8"/>
      <c r="G12" s="9" t="s">
        <v>9</v>
      </c>
      <c r="H12" s="8"/>
      <c r="I12" s="9" t="s">
        <v>10</v>
      </c>
      <c r="J12" s="15" t="s">
        <v>11</v>
      </c>
      <c r="K12" s="9" t="s">
        <v>24</v>
      </c>
      <c r="L12" s="8"/>
      <c r="M12" s="9" t="s">
        <v>14</v>
      </c>
      <c r="N12" s="10"/>
      <c r="O12" s="9" t="s">
        <v>25</v>
      </c>
      <c r="P12" s="10"/>
      <c r="Q12" s="12" t="s">
        <v>26</v>
      </c>
      <c r="R12" s="8"/>
      <c r="S12" s="8" t="s">
        <v>17</v>
      </c>
      <c r="T12" s="8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>
        <v>12.0</v>
      </c>
      <c r="B13" s="5" t="s">
        <v>6</v>
      </c>
      <c r="C13" s="6">
        <v>46093.0</v>
      </c>
      <c r="D13" s="18" t="s">
        <v>21</v>
      </c>
      <c r="E13" s="8" t="s">
        <v>8</v>
      </c>
      <c r="F13" s="10"/>
      <c r="G13" s="9" t="s">
        <v>9</v>
      </c>
      <c r="H13" s="8"/>
      <c r="I13" s="9" t="s">
        <v>10</v>
      </c>
      <c r="J13" s="8"/>
      <c r="K13" s="9" t="s">
        <v>24</v>
      </c>
      <c r="L13" s="8"/>
      <c r="M13" s="9" t="s">
        <v>14</v>
      </c>
      <c r="N13" s="10"/>
      <c r="O13" s="9" t="s">
        <v>25</v>
      </c>
      <c r="P13" s="15" t="s">
        <v>11</v>
      </c>
      <c r="Q13" s="12" t="s">
        <v>26</v>
      </c>
      <c r="R13" s="10"/>
      <c r="S13" s="8" t="s">
        <v>17</v>
      </c>
      <c r="T13" s="8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>
        <v>13.0</v>
      </c>
      <c r="B14" s="5" t="s">
        <v>6</v>
      </c>
      <c r="C14" s="6">
        <v>46094.0</v>
      </c>
      <c r="D14" s="19" t="s">
        <v>22</v>
      </c>
      <c r="E14" s="8" t="s">
        <v>8</v>
      </c>
      <c r="F14" s="10"/>
      <c r="G14" s="9" t="s">
        <v>9</v>
      </c>
      <c r="H14" s="8"/>
      <c r="I14" s="9" t="s">
        <v>10</v>
      </c>
      <c r="J14" s="15" t="s">
        <v>11</v>
      </c>
      <c r="K14" s="9" t="s">
        <v>24</v>
      </c>
      <c r="L14" s="8"/>
      <c r="M14" s="9" t="s">
        <v>14</v>
      </c>
      <c r="N14" s="8"/>
      <c r="O14" s="9" t="s">
        <v>25</v>
      </c>
      <c r="P14" s="8"/>
      <c r="Q14" s="12" t="s">
        <v>26</v>
      </c>
      <c r="R14" s="8"/>
      <c r="S14" s="8" t="s">
        <v>17</v>
      </c>
      <c r="T14" s="8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>
        <v>14.0</v>
      </c>
      <c r="B15" s="5" t="s">
        <v>6</v>
      </c>
      <c r="C15" s="6">
        <v>46095.0</v>
      </c>
      <c r="D15" s="20" t="s">
        <v>23</v>
      </c>
      <c r="E15" s="8" t="s">
        <v>8</v>
      </c>
      <c r="F15" s="8"/>
      <c r="G15" s="9" t="s">
        <v>9</v>
      </c>
      <c r="H15" s="8"/>
      <c r="I15" s="9" t="s">
        <v>10</v>
      </c>
      <c r="J15" s="15" t="s">
        <v>11</v>
      </c>
      <c r="K15" s="9" t="s">
        <v>24</v>
      </c>
      <c r="L15" s="8"/>
      <c r="M15" s="9" t="s">
        <v>14</v>
      </c>
      <c r="N15" s="10"/>
      <c r="O15" s="9" t="s">
        <v>25</v>
      </c>
      <c r="P15" s="8"/>
      <c r="Q15" s="12" t="s">
        <v>26</v>
      </c>
      <c r="R15" s="8"/>
      <c r="S15" s="8" t="s">
        <v>17</v>
      </c>
      <c r="T15" s="8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>
        <v>15.0</v>
      </c>
      <c r="B16" s="5" t="s">
        <v>6</v>
      </c>
      <c r="C16" s="6">
        <v>46096.0</v>
      </c>
      <c r="D16" s="7" t="s">
        <v>7</v>
      </c>
      <c r="E16" s="8" t="s">
        <v>8</v>
      </c>
      <c r="F16" s="15" t="s">
        <v>11</v>
      </c>
      <c r="G16" s="9" t="s">
        <v>9</v>
      </c>
      <c r="H16" s="8"/>
      <c r="I16" s="9" t="s">
        <v>10</v>
      </c>
      <c r="J16" s="8"/>
      <c r="K16" s="9" t="s">
        <v>24</v>
      </c>
      <c r="L16" s="8"/>
      <c r="M16" s="9" t="s">
        <v>14</v>
      </c>
      <c r="N16" s="10"/>
      <c r="O16" s="9" t="s">
        <v>25</v>
      </c>
      <c r="P16" s="8"/>
      <c r="Q16" s="12" t="s">
        <v>26</v>
      </c>
      <c r="R16" s="8"/>
      <c r="S16" s="8" t="s">
        <v>17</v>
      </c>
      <c r="T16" s="8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>
        <v>16.0</v>
      </c>
      <c r="B17" s="5" t="s">
        <v>6</v>
      </c>
      <c r="C17" s="6">
        <v>46097.0</v>
      </c>
      <c r="D17" s="14" t="s">
        <v>18</v>
      </c>
      <c r="E17" s="8" t="s">
        <v>8</v>
      </c>
      <c r="F17" s="15" t="s">
        <v>11</v>
      </c>
      <c r="G17" s="9" t="s">
        <v>9</v>
      </c>
      <c r="H17" s="8"/>
      <c r="I17" s="9" t="s">
        <v>10</v>
      </c>
      <c r="J17" s="8"/>
      <c r="K17" s="9" t="s">
        <v>24</v>
      </c>
      <c r="L17" s="8"/>
      <c r="M17" s="9" t="s">
        <v>14</v>
      </c>
      <c r="N17" s="9"/>
      <c r="O17" s="9" t="s">
        <v>25</v>
      </c>
      <c r="P17" s="10"/>
      <c r="Q17" s="12" t="s">
        <v>26</v>
      </c>
      <c r="R17" s="8"/>
      <c r="S17" s="8" t="s">
        <v>17</v>
      </c>
      <c r="T17" s="8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>
        <v>17.0</v>
      </c>
      <c r="B18" s="5" t="s">
        <v>6</v>
      </c>
      <c r="C18" s="6">
        <v>46098.0</v>
      </c>
      <c r="D18" s="16" t="s">
        <v>19</v>
      </c>
      <c r="E18" s="8" t="s">
        <v>8</v>
      </c>
      <c r="F18" s="15" t="s">
        <v>11</v>
      </c>
      <c r="G18" s="9" t="s">
        <v>9</v>
      </c>
      <c r="H18" s="8"/>
      <c r="I18" s="9" t="s">
        <v>10</v>
      </c>
      <c r="J18" s="8"/>
      <c r="K18" s="9" t="s">
        <v>24</v>
      </c>
      <c r="L18" s="8"/>
      <c r="M18" s="9" t="s">
        <v>14</v>
      </c>
      <c r="N18" s="8"/>
      <c r="O18" s="9" t="s">
        <v>25</v>
      </c>
      <c r="P18" s="8"/>
      <c r="Q18" s="12" t="s">
        <v>26</v>
      </c>
      <c r="R18" s="8"/>
      <c r="S18" s="8" t="s">
        <v>17</v>
      </c>
      <c r="T18" s="8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>
        <v>18.0</v>
      </c>
      <c r="B19" s="5" t="s">
        <v>6</v>
      </c>
      <c r="C19" s="6">
        <v>46099.0</v>
      </c>
      <c r="D19" s="17" t="s">
        <v>20</v>
      </c>
      <c r="E19" s="8" t="s">
        <v>8</v>
      </c>
      <c r="F19" s="8"/>
      <c r="G19" s="9" t="s">
        <v>9</v>
      </c>
      <c r="H19" s="8"/>
      <c r="I19" s="9" t="s">
        <v>10</v>
      </c>
      <c r="J19" s="15" t="s">
        <v>11</v>
      </c>
      <c r="K19" s="9" t="s">
        <v>24</v>
      </c>
      <c r="L19" s="8"/>
      <c r="M19" s="9" t="s">
        <v>14</v>
      </c>
      <c r="N19" s="8"/>
      <c r="O19" s="9" t="s">
        <v>25</v>
      </c>
      <c r="P19" s="10"/>
      <c r="Q19" s="12" t="s">
        <v>26</v>
      </c>
      <c r="R19" s="8"/>
      <c r="S19" s="8" t="s">
        <v>17</v>
      </c>
      <c r="T19" s="8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>
        <v>19.0</v>
      </c>
      <c r="B20" s="5" t="s">
        <v>6</v>
      </c>
      <c r="C20" s="6">
        <v>46100.0</v>
      </c>
      <c r="D20" s="21" t="s">
        <v>21</v>
      </c>
      <c r="E20" s="8" t="s">
        <v>8</v>
      </c>
      <c r="F20" s="8"/>
      <c r="G20" s="9" t="s">
        <v>9</v>
      </c>
      <c r="H20" s="8"/>
      <c r="I20" s="9" t="s">
        <v>10</v>
      </c>
      <c r="J20" s="15" t="s">
        <v>11</v>
      </c>
      <c r="K20" s="9" t="s">
        <v>24</v>
      </c>
      <c r="L20" s="8"/>
      <c r="M20" s="9" t="s">
        <v>14</v>
      </c>
      <c r="N20" s="8"/>
      <c r="O20" s="9" t="s">
        <v>25</v>
      </c>
      <c r="P20" s="10"/>
      <c r="Q20" s="12" t="s">
        <v>26</v>
      </c>
      <c r="R20" s="8"/>
      <c r="S20" s="8" t="s">
        <v>17</v>
      </c>
      <c r="T20" s="8"/>
      <c r="U20" s="4"/>
      <c r="V20" s="22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>
        <v>20.0</v>
      </c>
      <c r="B21" s="5" t="s">
        <v>6</v>
      </c>
      <c r="C21" s="6">
        <v>46101.0</v>
      </c>
      <c r="D21" s="19" t="s">
        <v>22</v>
      </c>
      <c r="E21" s="8" t="s">
        <v>8</v>
      </c>
      <c r="F21" s="10"/>
      <c r="G21" s="9" t="s">
        <v>9</v>
      </c>
      <c r="H21" s="8"/>
      <c r="I21" s="9" t="s">
        <v>10</v>
      </c>
      <c r="J21" s="15" t="s">
        <v>11</v>
      </c>
      <c r="K21" s="9" t="s">
        <v>24</v>
      </c>
      <c r="L21" s="8"/>
      <c r="M21" s="9" t="s">
        <v>14</v>
      </c>
      <c r="N21" s="8"/>
      <c r="O21" s="9" t="s">
        <v>25</v>
      </c>
      <c r="P21" s="10"/>
      <c r="Q21" s="12" t="s">
        <v>26</v>
      </c>
      <c r="R21" s="8"/>
      <c r="S21" s="8" t="s">
        <v>17</v>
      </c>
      <c r="T21" s="8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>
        <v>21.0</v>
      </c>
      <c r="B22" s="5" t="s">
        <v>6</v>
      </c>
      <c r="C22" s="6">
        <v>46102.0</v>
      </c>
      <c r="D22" s="20" t="s">
        <v>23</v>
      </c>
      <c r="E22" s="8" t="s">
        <v>8</v>
      </c>
      <c r="F22" s="10"/>
      <c r="G22" s="9" t="s">
        <v>9</v>
      </c>
      <c r="H22" s="8"/>
      <c r="I22" s="9" t="s">
        <v>10</v>
      </c>
      <c r="J22" s="15" t="s">
        <v>11</v>
      </c>
      <c r="K22" s="9" t="s">
        <v>24</v>
      </c>
      <c r="L22" s="8"/>
      <c r="M22" s="9" t="s">
        <v>14</v>
      </c>
      <c r="N22" s="10"/>
      <c r="O22" s="9" t="s">
        <v>25</v>
      </c>
      <c r="P22" s="10"/>
      <c r="Q22" s="12" t="s">
        <v>26</v>
      </c>
      <c r="R22" s="8"/>
      <c r="S22" s="8" t="s">
        <v>17</v>
      </c>
      <c r="T22" s="8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>
        <v>22.0</v>
      </c>
      <c r="B23" s="5" t="s">
        <v>6</v>
      </c>
      <c r="C23" s="6">
        <v>46103.0</v>
      </c>
      <c r="D23" s="7" t="s">
        <v>7</v>
      </c>
      <c r="E23" s="8" t="s">
        <v>8</v>
      </c>
      <c r="F23" s="8"/>
      <c r="G23" s="9" t="s">
        <v>9</v>
      </c>
      <c r="H23" s="8"/>
      <c r="I23" s="9" t="s">
        <v>10</v>
      </c>
      <c r="J23" s="10"/>
      <c r="K23" s="9" t="s">
        <v>27</v>
      </c>
      <c r="L23" s="8"/>
      <c r="M23" s="23" t="s">
        <v>13</v>
      </c>
      <c r="N23" s="9"/>
      <c r="O23" s="9" t="s">
        <v>28</v>
      </c>
      <c r="P23" s="15"/>
      <c r="Q23" s="12" t="s">
        <v>26</v>
      </c>
      <c r="R23" s="8"/>
      <c r="S23" s="8" t="s">
        <v>17</v>
      </c>
      <c r="T23" s="8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</row>
    <row r="24">
      <c r="A24" s="4">
        <v>23.0</v>
      </c>
      <c r="B24" s="5" t="s">
        <v>6</v>
      </c>
      <c r="C24" s="6">
        <v>46104.0</v>
      </c>
      <c r="D24" s="14" t="s">
        <v>18</v>
      </c>
      <c r="E24" s="8" t="s">
        <v>8</v>
      </c>
      <c r="F24" s="8"/>
      <c r="G24" s="9" t="s">
        <v>9</v>
      </c>
      <c r="H24" s="8"/>
      <c r="I24" s="9" t="s">
        <v>10</v>
      </c>
      <c r="J24" s="15" t="s">
        <v>11</v>
      </c>
      <c r="K24" s="9" t="s">
        <v>27</v>
      </c>
      <c r="L24" s="8"/>
      <c r="M24" s="23" t="s">
        <v>13</v>
      </c>
      <c r="N24" s="9"/>
      <c r="O24" s="9" t="s">
        <v>28</v>
      </c>
      <c r="P24" s="11"/>
      <c r="Q24" s="12" t="s">
        <v>26</v>
      </c>
      <c r="R24" s="8"/>
      <c r="S24" s="8" t="s">
        <v>17</v>
      </c>
      <c r="T24" s="8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>
        <v>24.0</v>
      </c>
      <c r="B25" s="5" t="s">
        <v>6</v>
      </c>
      <c r="C25" s="6">
        <v>46105.0</v>
      </c>
      <c r="D25" s="16" t="s">
        <v>19</v>
      </c>
      <c r="E25" s="8" t="s">
        <v>8</v>
      </c>
      <c r="F25" s="8"/>
      <c r="G25" s="9" t="s">
        <v>9</v>
      </c>
      <c r="H25" s="8"/>
      <c r="I25" s="9" t="s">
        <v>10</v>
      </c>
      <c r="J25" s="15" t="s">
        <v>11</v>
      </c>
      <c r="K25" s="9" t="s">
        <v>27</v>
      </c>
      <c r="L25" s="8"/>
      <c r="M25" s="23" t="s">
        <v>13</v>
      </c>
      <c r="N25" s="8"/>
      <c r="O25" s="9" t="s">
        <v>28</v>
      </c>
      <c r="P25" s="15" t="s">
        <v>11</v>
      </c>
      <c r="Q25" s="12" t="s">
        <v>26</v>
      </c>
      <c r="R25" s="8"/>
      <c r="S25" s="8" t="s">
        <v>17</v>
      </c>
      <c r="T25" s="8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>
        <v>25.0</v>
      </c>
      <c r="B26" s="5" t="s">
        <v>6</v>
      </c>
      <c r="C26" s="6">
        <v>46106.0</v>
      </c>
      <c r="D26" s="17" t="s">
        <v>20</v>
      </c>
      <c r="E26" s="8" t="s">
        <v>8</v>
      </c>
      <c r="F26" s="8"/>
      <c r="G26" s="9" t="s">
        <v>9</v>
      </c>
      <c r="H26" s="8"/>
      <c r="I26" s="9" t="s">
        <v>10</v>
      </c>
      <c r="J26" s="15" t="s">
        <v>11</v>
      </c>
      <c r="K26" s="9" t="s">
        <v>27</v>
      </c>
      <c r="L26" s="8"/>
      <c r="M26" s="23" t="s">
        <v>13</v>
      </c>
      <c r="N26" s="8"/>
      <c r="O26" s="9" t="s">
        <v>28</v>
      </c>
      <c r="P26" s="15"/>
      <c r="Q26" s="12" t="s">
        <v>26</v>
      </c>
      <c r="R26" s="8"/>
      <c r="S26" s="8" t="s">
        <v>17</v>
      </c>
      <c r="T26" s="8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>
        <v>26.0</v>
      </c>
      <c r="B27" s="5" t="s">
        <v>6</v>
      </c>
      <c r="C27" s="6">
        <v>46107.0</v>
      </c>
      <c r="D27" s="18" t="s">
        <v>21</v>
      </c>
      <c r="E27" s="8" t="s">
        <v>8</v>
      </c>
      <c r="F27" s="10"/>
      <c r="G27" s="9" t="s">
        <v>9</v>
      </c>
      <c r="H27" s="8"/>
      <c r="I27" s="9" t="s">
        <v>10</v>
      </c>
      <c r="J27" s="15" t="s">
        <v>11</v>
      </c>
      <c r="K27" s="9" t="s">
        <v>24</v>
      </c>
      <c r="L27" s="8"/>
      <c r="M27" s="9" t="s">
        <v>14</v>
      </c>
      <c r="N27" s="8"/>
      <c r="O27" s="9" t="s">
        <v>25</v>
      </c>
      <c r="P27" s="11"/>
      <c r="Q27" s="12" t="s">
        <v>26</v>
      </c>
      <c r="R27" s="8"/>
      <c r="S27" s="8" t="s">
        <v>17</v>
      </c>
      <c r="T27" s="8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>
        <v>27.0</v>
      </c>
      <c r="B28" s="5" t="s">
        <v>6</v>
      </c>
      <c r="C28" s="6">
        <v>46108.0</v>
      </c>
      <c r="D28" s="19" t="s">
        <v>22</v>
      </c>
      <c r="E28" s="8" t="s">
        <v>8</v>
      </c>
      <c r="F28" s="8"/>
      <c r="G28" s="9" t="s">
        <v>9</v>
      </c>
      <c r="H28" s="8"/>
      <c r="I28" s="9" t="s">
        <v>10</v>
      </c>
      <c r="J28" s="11" t="s">
        <v>11</v>
      </c>
      <c r="K28" s="9" t="s">
        <v>24</v>
      </c>
      <c r="L28" s="8"/>
      <c r="M28" s="9" t="s">
        <v>14</v>
      </c>
      <c r="N28" s="8"/>
      <c r="O28" s="9" t="s">
        <v>25</v>
      </c>
      <c r="P28" s="10"/>
      <c r="Q28" s="12" t="s">
        <v>26</v>
      </c>
      <c r="R28" s="9"/>
      <c r="S28" s="8" t="s">
        <v>17</v>
      </c>
      <c r="T28" s="8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>
        <v>28.0</v>
      </c>
      <c r="B29" s="5" t="s">
        <v>6</v>
      </c>
      <c r="C29" s="6">
        <v>46109.0</v>
      </c>
      <c r="D29" s="20" t="s">
        <v>23</v>
      </c>
      <c r="E29" s="8" t="s">
        <v>8</v>
      </c>
      <c r="F29" s="8"/>
      <c r="G29" s="9" t="s">
        <v>9</v>
      </c>
      <c r="H29" s="8"/>
      <c r="I29" s="9" t="s">
        <v>10</v>
      </c>
      <c r="J29" s="15" t="s">
        <v>11</v>
      </c>
      <c r="K29" s="9" t="s">
        <v>24</v>
      </c>
      <c r="L29" s="8"/>
      <c r="M29" s="9" t="s">
        <v>14</v>
      </c>
      <c r="N29" s="8"/>
      <c r="O29" s="9" t="s">
        <v>25</v>
      </c>
      <c r="P29" s="10"/>
      <c r="Q29" s="12" t="s">
        <v>26</v>
      </c>
      <c r="R29" s="8"/>
      <c r="S29" s="8" t="s">
        <v>17</v>
      </c>
      <c r="T29" s="8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>
        <v>29.0</v>
      </c>
      <c r="B30" s="5" t="s">
        <v>6</v>
      </c>
      <c r="C30" s="6">
        <v>46110.0</v>
      </c>
      <c r="D30" s="7" t="s">
        <v>7</v>
      </c>
      <c r="E30" s="8" t="s">
        <v>8</v>
      </c>
      <c r="F30" s="8"/>
      <c r="G30" s="9" t="s">
        <v>9</v>
      </c>
      <c r="H30" s="8"/>
      <c r="I30" s="9" t="s">
        <v>10</v>
      </c>
      <c r="J30" s="15" t="s">
        <v>11</v>
      </c>
      <c r="K30" s="9" t="s">
        <v>24</v>
      </c>
      <c r="L30" s="8"/>
      <c r="M30" s="9" t="s">
        <v>14</v>
      </c>
      <c r="N30" s="8"/>
      <c r="O30" s="9" t="s">
        <v>25</v>
      </c>
      <c r="P30" s="11"/>
      <c r="Q30" s="12" t="s">
        <v>26</v>
      </c>
      <c r="R30" s="8"/>
      <c r="S30" s="8" t="s">
        <v>17</v>
      </c>
      <c r="T30" s="8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>
        <v>30.0</v>
      </c>
      <c r="B31" s="5" t="s">
        <v>6</v>
      </c>
      <c r="C31" s="6">
        <v>46111.0</v>
      </c>
      <c r="D31" s="14" t="s">
        <v>18</v>
      </c>
      <c r="E31" s="8" t="s">
        <v>8</v>
      </c>
      <c r="F31" s="8"/>
      <c r="G31" s="9" t="s">
        <v>9</v>
      </c>
      <c r="H31" s="8"/>
      <c r="I31" s="9" t="s">
        <v>10</v>
      </c>
      <c r="J31" s="15" t="s">
        <v>11</v>
      </c>
      <c r="K31" s="9" t="s">
        <v>24</v>
      </c>
      <c r="L31" s="8"/>
      <c r="M31" s="9" t="s">
        <v>14</v>
      </c>
      <c r="N31" s="8"/>
      <c r="O31" s="9" t="s">
        <v>25</v>
      </c>
      <c r="P31" s="11"/>
      <c r="Q31" s="12" t="s">
        <v>26</v>
      </c>
      <c r="R31" s="8"/>
      <c r="S31" s="8" t="s">
        <v>17</v>
      </c>
      <c r="T31" s="8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>
        <v>31.0</v>
      </c>
      <c r="B32" s="5" t="s">
        <v>6</v>
      </c>
      <c r="C32" s="6">
        <v>46112.0</v>
      </c>
      <c r="D32" s="16" t="s">
        <v>19</v>
      </c>
      <c r="E32" s="8" t="s">
        <v>8</v>
      </c>
      <c r="F32" s="8"/>
      <c r="G32" s="9" t="s">
        <v>9</v>
      </c>
      <c r="H32" s="8"/>
      <c r="I32" s="9" t="s">
        <v>10</v>
      </c>
      <c r="J32" s="15" t="s">
        <v>11</v>
      </c>
      <c r="K32" s="9" t="s">
        <v>24</v>
      </c>
      <c r="L32" s="8"/>
      <c r="M32" s="9" t="s">
        <v>14</v>
      </c>
      <c r="N32" s="8"/>
      <c r="O32" s="9" t="s">
        <v>25</v>
      </c>
      <c r="P32" s="10"/>
      <c r="Q32" s="12" t="s">
        <v>26</v>
      </c>
      <c r="R32" s="8"/>
      <c r="S32" s="8" t="s">
        <v>17</v>
      </c>
      <c r="T32" s="8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8"/>
      <c r="O33" s="4"/>
      <c r="P33" s="8"/>
      <c r="Q33" s="4"/>
      <c r="R33" s="25"/>
      <c r="S33" s="26"/>
      <c r="T33" s="26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1" t="s">
        <v>0</v>
      </c>
      <c r="B34" s="1" t="s">
        <v>1</v>
      </c>
      <c r="C34" s="2" t="s">
        <v>2</v>
      </c>
      <c r="D34" s="2" t="s">
        <v>3</v>
      </c>
      <c r="E34" s="2" t="s">
        <v>4</v>
      </c>
      <c r="F34" s="2" t="s">
        <v>5</v>
      </c>
      <c r="G34" s="2" t="s">
        <v>4</v>
      </c>
      <c r="H34" s="2" t="s">
        <v>5</v>
      </c>
      <c r="I34" s="2" t="s">
        <v>4</v>
      </c>
      <c r="J34" s="2" t="s">
        <v>5</v>
      </c>
      <c r="K34" s="2" t="s">
        <v>4</v>
      </c>
      <c r="L34" s="2" t="s">
        <v>5</v>
      </c>
      <c r="M34" s="2" t="s">
        <v>4</v>
      </c>
      <c r="N34" s="2" t="s">
        <v>5</v>
      </c>
      <c r="O34" s="2" t="s">
        <v>4</v>
      </c>
      <c r="P34" s="2" t="s">
        <v>5</v>
      </c>
      <c r="Q34" s="2" t="s">
        <v>4</v>
      </c>
      <c r="R34" s="2" t="s">
        <v>5</v>
      </c>
      <c r="S34" s="1"/>
      <c r="T34" s="1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>
        <v>1.0</v>
      </c>
      <c r="B35" s="27" t="s">
        <v>29</v>
      </c>
      <c r="C35" s="6">
        <v>46082.0</v>
      </c>
      <c r="D35" s="7" t="s">
        <v>7</v>
      </c>
      <c r="E35" s="8" t="s">
        <v>8</v>
      </c>
      <c r="F35" s="15" t="s">
        <v>11</v>
      </c>
      <c r="G35" s="9" t="s">
        <v>9</v>
      </c>
      <c r="H35" s="10"/>
      <c r="I35" s="9" t="s">
        <v>10</v>
      </c>
      <c r="J35" s="10"/>
      <c r="K35" s="9" t="s">
        <v>12</v>
      </c>
      <c r="L35" s="10"/>
      <c r="M35" s="9" t="s">
        <v>13</v>
      </c>
      <c r="N35" s="8"/>
      <c r="O35" s="9" t="s">
        <v>14</v>
      </c>
      <c r="P35" s="10"/>
      <c r="Q35" s="12" t="s">
        <v>15</v>
      </c>
      <c r="R35" s="8"/>
      <c r="S35" s="8" t="s">
        <v>16</v>
      </c>
      <c r="T35" s="8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>
        <v>2.0</v>
      </c>
      <c r="B36" s="27" t="s">
        <v>29</v>
      </c>
      <c r="C36" s="6">
        <v>46083.0</v>
      </c>
      <c r="D36" s="14" t="s">
        <v>18</v>
      </c>
      <c r="E36" s="8" t="s">
        <v>8</v>
      </c>
      <c r="F36" s="8"/>
      <c r="G36" s="9" t="s">
        <v>9</v>
      </c>
      <c r="H36" s="10"/>
      <c r="I36" s="9" t="s">
        <v>10</v>
      </c>
      <c r="J36" s="10"/>
      <c r="K36" s="9" t="s">
        <v>12</v>
      </c>
      <c r="L36" s="10"/>
      <c r="M36" s="9" t="s">
        <v>13</v>
      </c>
      <c r="N36" s="8"/>
      <c r="O36" s="9" t="s">
        <v>14</v>
      </c>
      <c r="P36" s="10"/>
      <c r="Q36" s="12" t="s">
        <v>15</v>
      </c>
      <c r="R36" s="15" t="s">
        <v>11</v>
      </c>
      <c r="S36" s="8" t="s">
        <v>16</v>
      </c>
      <c r="T36" s="8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>
        <v>3.0</v>
      </c>
      <c r="B37" s="27" t="s">
        <v>29</v>
      </c>
      <c r="C37" s="6">
        <v>46084.0</v>
      </c>
      <c r="D37" s="16" t="s">
        <v>19</v>
      </c>
      <c r="E37" s="8" t="s">
        <v>8</v>
      </c>
      <c r="F37" s="15" t="s">
        <v>11</v>
      </c>
      <c r="G37" s="9" t="s">
        <v>9</v>
      </c>
      <c r="H37" s="10"/>
      <c r="I37" s="9" t="s">
        <v>10</v>
      </c>
      <c r="J37" s="10"/>
      <c r="K37" s="9" t="s">
        <v>12</v>
      </c>
      <c r="L37" s="10"/>
      <c r="M37" s="9" t="s">
        <v>13</v>
      </c>
      <c r="N37" s="8"/>
      <c r="O37" s="9" t="s">
        <v>14</v>
      </c>
      <c r="P37" s="10"/>
      <c r="Q37" s="12" t="s">
        <v>15</v>
      </c>
      <c r="R37" s="8"/>
      <c r="S37" s="8" t="s">
        <v>16</v>
      </c>
      <c r="T37" s="8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>
        <v>4.0</v>
      </c>
      <c r="B38" s="27" t="s">
        <v>29</v>
      </c>
      <c r="C38" s="6">
        <v>46085.0</v>
      </c>
      <c r="D38" s="17" t="s">
        <v>20</v>
      </c>
      <c r="E38" s="8" t="s">
        <v>8</v>
      </c>
      <c r="F38" s="15" t="s">
        <v>11</v>
      </c>
      <c r="G38" s="9" t="s">
        <v>9</v>
      </c>
      <c r="H38" s="10"/>
      <c r="I38" s="9" t="s">
        <v>10</v>
      </c>
      <c r="J38" s="10"/>
      <c r="K38" s="9" t="s">
        <v>12</v>
      </c>
      <c r="L38" s="10"/>
      <c r="M38" s="9" t="s">
        <v>13</v>
      </c>
      <c r="N38" s="8"/>
      <c r="O38" s="9" t="s">
        <v>14</v>
      </c>
      <c r="P38" s="10"/>
      <c r="Q38" s="12" t="s">
        <v>15</v>
      </c>
      <c r="R38" s="8"/>
      <c r="S38" s="8" t="s">
        <v>16</v>
      </c>
      <c r="T38" s="8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>
        <v>5.0</v>
      </c>
      <c r="B39" s="27" t="s">
        <v>29</v>
      </c>
      <c r="C39" s="6">
        <v>46086.0</v>
      </c>
      <c r="D39" s="18" t="s">
        <v>21</v>
      </c>
      <c r="E39" s="8" t="s">
        <v>8</v>
      </c>
      <c r="F39" s="15" t="s">
        <v>11</v>
      </c>
      <c r="G39" s="9" t="s">
        <v>9</v>
      </c>
      <c r="H39" s="10"/>
      <c r="I39" s="9" t="s">
        <v>10</v>
      </c>
      <c r="J39" s="10"/>
      <c r="K39" s="9" t="s">
        <v>12</v>
      </c>
      <c r="L39" s="10"/>
      <c r="M39" s="9" t="s">
        <v>13</v>
      </c>
      <c r="N39" s="8"/>
      <c r="O39" s="9" t="s">
        <v>14</v>
      </c>
      <c r="P39" s="10"/>
      <c r="Q39" s="12" t="s">
        <v>30</v>
      </c>
      <c r="R39" s="8"/>
      <c r="S39" s="8" t="s">
        <v>16</v>
      </c>
      <c r="T39" s="8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>
        <v>6.0</v>
      </c>
      <c r="B40" s="27" t="s">
        <v>29</v>
      </c>
      <c r="C40" s="6">
        <v>46087.0</v>
      </c>
      <c r="D40" s="19" t="s">
        <v>22</v>
      </c>
      <c r="E40" s="8" t="s">
        <v>8</v>
      </c>
      <c r="F40" s="8"/>
      <c r="G40" s="9" t="s">
        <v>9</v>
      </c>
      <c r="H40" s="11" t="s">
        <v>11</v>
      </c>
      <c r="I40" s="9" t="s">
        <v>10</v>
      </c>
      <c r="J40" s="10"/>
      <c r="K40" s="9" t="s">
        <v>12</v>
      </c>
      <c r="L40" s="10"/>
      <c r="M40" s="9" t="s">
        <v>13</v>
      </c>
      <c r="N40" s="8"/>
      <c r="O40" s="9" t="s">
        <v>14</v>
      </c>
      <c r="P40" s="10"/>
      <c r="Q40" s="12" t="s">
        <v>15</v>
      </c>
      <c r="R40" s="8"/>
      <c r="S40" s="8" t="s">
        <v>16</v>
      </c>
      <c r="T40" s="8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>
        <v>7.0</v>
      </c>
      <c r="B41" s="27" t="s">
        <v>29</v>
      </c>
      <c r="C41" s="6">
        <v>46088.0</v>
      </c>
      <c r="D41" s="20" t="s">
        <v>23</v>
      </c>
      <c r="E41" s="8" t="s">
        <v>8</v>
      </c>
      <c r="F41" s="8"/>
      <c r="G41" s="9" t="s">
        <v>9</v>
      </c>
      <c r="H41" s="11" t="s">
        <v>11</v>
      </c>
      <c r="I41" s="9" t="s">
        <v>10</v>
      </c>
      <c r="J41" s="10"/>
      <c r="K41" s="9" t="s">
        <v>12</v>
      </c>
      <c r="L41" s="10"/>
      <c r="M41" s="9" t="s">
        <v>13</v>
      </c>
      <c r="N41" s="8"/>
      <c r="O41" s="9" t="s">
        <v>14</v>
      </c>
      <c r="P41" s="10"/>
      <c r="Q41" s="12" t="s">
        <v>15</v>
      </c>
      <c r="R41" s="8"/>
      <c r="S41" s="8" t="s">
        <v>16</v>
      </c>
      <c r="T41" s="8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>
        <v>8.0</v>
      </c>
      <c r="B42" s="27" t="s">
        <v>29</v>
      </c>
      <c r="C42" s="6">
        <v>46089.0</v>
      </c>
      <c r="D42" s="7" t="s">
        <v>7</v>
      </c>
      <c r="E42" s="8" t="s">
        <v>8</v>
      </c>
      <c r="F42" s="8"/>
      <c r="G42" s="9" t="s">
        <v>9</v>
      </c>
      <c r="H42" s="11" t="s">
        <v>11</v>
      </c>
      <c r="I42" s="9" t="s">
        <v>10</v>
      </c>
      <c r="J42" s="10"/>
      <c r="K42" s="9" t="s">
        <v>12</v>
      </c>
      <c r="L42" s="10"/>
      <c r="M42" s="9" t="s">
        <v>13</v>
      </c>
      <c r="N42" s="8"/>
      <c r="O42" s="9" t="s">
        <v>14</v>
      </c>
      <c r="P42" s="10"/>
      <c r="Q42" s="12" t="s">
        <v>15</v>
      </c>
      <c r="R42" s="8"/>
      <c r="S42" s="8" t="s">
        <v>16</v>
      </c>
      <c r="T42" s="8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>
        <v>9.0</v>
      </c>
      <c r="B43" s="27" t="s">
        <v>29</v>
      </c>
      <c r="C43" s="6">
        <v>46090.0</v>
      </c>
      <c r="D43" s="14" t="s">
        <v>18</v>
      </c>
      <c r="E43" s="8" t="s">
        <v>8</v>
      </c>
      <c r="F43" s="8"/>
      <c r="G43" s="9" t="s">
        <v>9</v>
      </c>
      <c r="H43" s="10"/>
      <c r="I43" s="9" t="s">
        <v>10</v>
      </c>
      <c r="J43" s="10"/>
      <c r="K43" s="9" t="s">
        <v>12</v>
      </c>
      <c r="L43" s="10"/>
      <c r="M43" s="9" t="s">
        <v>13</v>
      </c>
      <c r="N43" s="8"/>
      <c r="O43" s="9" t="s">
        <v>14</v>
      </c>
      <c r="P43" s="10"/>
      <c r="Q43" s="12" t="s">
        <v>15</v>
      </c>
      <c r="R43" s="15" t="s">
        <v>11</v>
      </c>
      <c r="S43" s="8" t="s">
        <v>16</v>
      </c>
      <c r="T43" s="8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>
        <v>10.0</v>
      </c>
      <c r="B44" s="27" t="s">
        <v>29</v>
      </c>
      <c r="C44" s="6">
        <v>46091.0</v>
      </c>
      <c r="D44" s="16" t="s">
        <v>19</v>
      </c>
      <c r="E44" s="8" t="s">
        <v>8</v>
      </c>
      <c r="F44" s="8"/>
      <c r="G44" s="9" t="s">
        <v>9</v>
      </c>
      <c r="H44" s="10"/>
      <c r="I44" s="9" t="s">
        <v>10</v>
      </c>
      <c r="J44" s="10"/>
      <c r="K44" s="9" t="s">
        <v>12</v>
      </c>
      <c r="L44" s="10"/>
      <c r="M44" s="9" t="s">
        <v>13</v>
      </c>
      <c r="N44" s="8"/>
      <c r="O44" s="9" t="s">
        <v>14</v>
      </c>
      <c r="P44" s="11" t="s">
        <v>11</v>
      </c>
      <c r="Q44" s="12" t="s">
        <v>15</v>
      </c>
      <c r="R44" s="8"/>
      <c r="S44" s="8" t="s">
        <v>16</v>
      </c>
      <c r="T44" s="8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>
        <v>11.0</v>
      </c>
      <c r="B45" s="27" t="s">
        <v>29</v>
      </c>
      <c r="C45" s="6">
        <v>46092.0</v>
      </c>
      <c r="D45" s="17" t="s">
        <v>20</v>
      </c>
      <c r="E45" s="8" t="s">
        <v>8</v>
      </c>
      <c r="F45" s="8"/>
      <c r="G45" s="9" t="s">
        <v>9</v>
      </c>
      <c r="H45" s="10"/>
      <c r="I45" s="9" t="s">
        <v>10</v>
      </c>
      <c r="J45" s="10"/>
      <c r="K45" s="9" t="s">
        <v>12</v>
      </c>
      <c r="L45" s="10"/>
      <c r="M45" s="9" t="s">
        <v>13</v>
      </c>
      <c r="N45" s="8"/>
      <c r="O45" s="9" t="s">
        <v>14</v>
      </c>
      <c r="P45" s="11" t="s">
        <v>11</v>
      </c>
      <c r="Q45" s="12" t="s">
        <v>15</v>
      </c>
      <c r="R45" s="8"/>
      <c r="S45" s="8" t="s">
        <v>16</v>
      </c>
      <c r="T45" s="8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>
        <v>12.0</v>
      </c>
      <c r="B46" s="27" t="s">
        <v>29</v>
      </c>
      <c r="C46" s="6">
        <v>46093.0</v>
      </c>
      <c r="D46" s="18" t="s">
        <v>21</v>
      </c>
      <c r="E46" s="8" t="s">
        <v>8</v>
      </c>
      <c r="F46" s="8"/>
      <c r="G46" s="9" t="s">
        <v>9</v>
      </c>
      <c r="H46" s="11" t="s">
        <v>11</v>
      </c>
      <c r="I46" s="9" t="s">
        <v>10</v>
      </c>
      <c r="J46" s="10"/>
      <c r="K46" s="9" t="s">
        <v>12</v>
      </c>
      <c r="L46" s="10"/>
      <c r="M46" s="9" t="s">
        <v>13</v>
      </c>
      <c r="N46" s="8"/>
      <c r="O46" s="9" t="s">
        <v>14</v>
      </c>
      <c r="P46" s="10"/>
      <c r="Q46" s="12" t="s">
        <v>15</v>
      </c>
      <c r="R46" s="8"/>
      <c r="S46" s="8" t="s">
        <v>16</v>
      </c>
      <c r="T46" s="8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>
        <v>13.0</v>
      </c>
      <c r="B47" s="27" t="s">
        <v>29</v>
      </c>
      <c r="C47" s="6">
        <v>46094.0</v>
      </c>
      <c r="D47" s="19" t="s">
        <v>22</v>
      </c>
      <c r="E47" s="8" t="s">
        <v>8</v>
      </c>
      <c r="F47" s="8"/>
      <c r="G47" s="9" t="s">
        <v>9</v>
      </c>
      <c r="H47" s="11" t="s">
        <v>11</v>
      </c>
      <c r="I47" s="9" t="s">
        <v>10</v>
      </c>
      <c r="J47" s="10"/>
      <c r="K47" s="9" t="s">
        <v>12</v>
      </c>
      <c r="L47" s="10"/>
      <c r="M47" s="9" t="s">
        <v>13</v>
      </c>
      <c r="N47" s="8"/>
      <c r="O47" s="9" t="s">
        <v>14</v>
      </c>
      <c r="P47" s="10"/>
      <c r="Q47" s="12" t="s">
        <v>15</v>
      </c>
      <c r="R47" s="8"/>
      <c r="S47" s="8" t="s">
        <v>16</v>
      </c>
      <c r="T47" s="8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>
        <v>14.0</v>
      </c>
      <c r="B48" s="27" t="s">
        <v>29</v>
      </c>
      <c r="C48" s="6">
        <v>46095.0</v>
      </c>
      <c r="D48" s="20" t="s">
        <v>23</v>
      </c>
      <c r="E48" s="8" t="s">
        <v>8</v>
      </c>
      <c r="F48" s="8"/>
      <c r="G48" s="9" t="s">
        <v>9</v>
      </c>
      <c r="H48" s="11" t="s">
        <v>11</v>
      </c>
      <c r="I48" s="9" t="s">
        <v>10</v>
      </c>
      <c r="J48" s="10"/>
      <c r="K48" s="9" t="s">
        <v>12</v>
      </c>
      <c r="L48" s="10"/>
      <c r="M48" s="9" t="s">
        <v>13</v>
      </c>
      <c r="N48" s="8"/>
      <c r="O48" s="9" t="s">
        <v>14</v>
      </c>
      <c r="P48" s="10"/>
      <c r="Q48" s="12" t="s">
        <v>15</v>
      </c>
      <c r="R48" s="8"/>
      <c r="S48" s="8" t="s">
        <v>16</v>
      </c>
      <c r="T48" s="8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>
        <v>15.0</v>
      </c>
      <c r="B49" s="27" t="s">
        <v>29</v>
      </c>
      <c r="C49" s="6">
        <v>46096.0</v>
      </c>
      <c r="D49" s="7" t="s">
        <v>7</v>
      </c>
      <c r="E49" s="8" t="s">
        <v>8</v>
      </c>
      <c r="F49" s="8"/>
      <c r="G49" s="9" t="s">
        <v>9</v>
      </c>
      <c r="H49" s="10"/>
      <c r="I49" s="9" t="s">
        <v>10</v>
      </c>
      <c r="J49" s="10"/>
      <c r="K49" s="9" t="s">
        <v>12</v>
      </c>
      <c r="L49" s="10"/>
      <c r="M49" s="9" t="s">
        <v>13</v>
      </c>
      <c r="N49" s="8"/>
      <c r="O49" s="9" t="s">
        <v>14</v>
      </c>
      <c r="P49" s="11" t="s">
        <v>11</v>
      </c>
      <c r="Q49" s="12" t="s">
        <v>15</v>
      </c>
      <c r="R49" s="8"/>
      <c r="S49" s="8" t="s">
        <v>16</v>
      </c>
      <c r="T49" s="8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>
        <v>16.0</v>
      </c>
      <c r="B50" s="27" t="s">
        <v>29</v>
      </c>
      <c r="C50" s="6">
        <v>46097.0</v>
      </c>
      <c r="D50" s="14" t="s">
        <v>18</v>
      </c>
      <c r="E50" s="8" t="s">
        <v>8</v>
      </c>
      <c r="F50" s="8"/>
      <c r="G50" s="9" t="s">
        <v>9</v>
      </c>
      <c r="H50" s="10"/>
      <c r="I50" s="9" t="s">
        <v>10</v>
      </c>
      <c r="J50" s="10"/>
      <c r="K50" s="9" t="s">
        <v>12</v>
      </c>
      <c r="L50" s="10"/>
      <c r="M50" s="9" t="s">
        <v>13</v>
      </c>
      <c r="N50" s="8"/>
      <c r="O50" s="9" t="s">
        <v>14</v>
      </c>
      <c r="P50" s="10"/>
      <c r="Q50" s="12" t="s">
        <v>15</v>
      </c>
      <c r="R50" s="15" t="s">
        <v>11</v>
      </c>
      <c r="S50" s="8" t="s">
        <v>16</v>
      </c>
      <c r="T50" s="8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>
        <v>17.0</v>
      </c>
      <c r="B51" s="27" t="s">
        <v>29</v>
      </c>
      <c r="C51" s="6">
        <v>46098.0</v>
      </c>
      <c r="D51" s="16" t="s">
        <v>19</v>
      </c>
      <c r="E51" s="8" t="s">
        <v>8</v>
      </c>
      <c r="F51" s="8"/>
      <c r="G51" s="9" t="s">
        <v>9</v>
      </c>
      <c r="H51" s="10"/>
      <c r="I51" s="9" t="s">
        <v>10</v>
      </c>
      <c r="J51" s="10"/>
      <c r="K51" s="9" t="s">
        <v>12</v>
      </c>
      <c r="L51" s="10"/>
      <c r="M51" s="9" t="s">
        <v>13</v>
      </c>
      <c r="N51" s="8"/>
      <c r="O51" s="9" t="s">
        <v>14</v>
      </c>
      <c r="P51" s="11" t="s">
        <v>11</v>
      </c>
      <c r="Q51" s="12" t="s">
        <v>15</v>
      </c>
      <c r="R51" s="8"/>
      <c r="S51" s="8" t="s">
        <v>16</v>
      </c>
      <c r="T51" s="8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>
        <v>18.0</v>
      </c>
      <c r="B52" s="27" t="s">
        <v>29</v>
      </c>
      <c r="C52" s="6">
        <v>46099.0</v>
      </c>
      <c r="D52" s="17" t="s">
        <v>20</v>
      </c>
      <c r="E52" s="8" t="s">
        <v>8</v>
      </c>
      <c r="F52" s="8"/>
      <c r="G52" s="9" t="s">
        <v>9</v>
      </c>
      <c r="H52" s="11" t="s">
        <v>11</v>
      </c>
      <c r="I52" s="9" t="s">
        <v>10</v>
      </c>
      <c r="J52" s="10"/>
      <c r="K52" s="9" t="s">
        <v>12</v>
      </c>
      <c r="L52" s="10"/>
      <c r="M52" s="9" t="s">
        <v>13</v>
      </c>
      <c r="N52" s="8"/>
      <c r="O52" s="9" t="s">
        <v>14</v>
      </c>
      <c r="P52" s="11" t="s">
        <v>11</v>
      </c>
      <c r="Q52" s="12" t="s">
        <v>15</v>
      </c>
      <c r="R52" s="8"/>
      <c r="S52" s="8" t="s">
        <v>16</v>
      </c>
      <c r="T52" s="8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>
        <v>19.0</v>
      </c>
      <c r="B53" s="27" t="s">
        <v>29</v>
      </c>
      <c r="C53" s="6">
        <v>46100.0</v>
      </c>
      <c r="D53" s="21" t="s">
        <v>21</v>
      </c>
      <c r="E53" s="8" t="s">
        <v>8</v>
      </c>
      <c r="F53" s="8"/>
      <c r="G53" s="9" t="s">
        <v>9</v>
      </c>
      <c r="H53" s="11" t="s">
        <v>11</v>
      </c>
      <c r="I53" s="9" t="s">
        <v>10</v>
      </c>
      <c r="J53" s="10"/>
      <c r="K53" s="9" t="s">
        <v>12</v>
      </c>
      <c r="L53" s="10"/>
      <c r="M53" s="9" t="s">
        <v>13</v>
      </c>
      <c r="N53" s="8"/>
      <c r="O53" s="9" t="s">
        <v>14</v>
      </c>
      <c r="P53" s="10"/>
      <c r="Q53" s="12" t="s">
        <v>15</v>
      </c>
      <c r="R53" s="8"/>
      <c r="S53" s="8" t="s">
        <v>16</v>
      </c>
      <c r="T53" s="8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>
        <v>20.0</v>
      </c>
      <c r="B54" s="27" t="s">
        <v>29</v>
      </c>
      <c r="C54" s="6">
        <v>46101.0</v>
      </c>
      <c r="D54" s="19" t="s">
        <v>22</v>
      </c>
      <c r="E54" s="8" t="s">
        <v>8</v>
      </c>
      <c r="F54" s="8"/>
      <c r="G54" s="9" t="s">
        <v>9</v>
      </c>
      <c r="H54" s="11" t="s">
        <v>11</v>
      </c>
      <c r="I54" s="9" t="s">
        <v>10</v>
      </c>
      <c r="J54" s="10"/>
      <c r="K54" s="9" t="s">
        <v>12</v>
      </c>
      <c r="L54" s="10"/>
      <c r="M54" s="9" t="s">
        <v>13</v>
      </c>
      <c r="N54" s="8"/>
      <c r="O54" s="9" t="s">
        <v>14</v>
      </c>
      <c r="P54" s="10"/>
      <c r="Q54" s="12" t="s">
        <v>15</v>
      </c>
      <c r="R54" s="8"/>
      <c r="S54" s="8" t="s">
        <v>16</v>
      </c>
      <c r="T54" s="8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>
        <v>21.0</v>
      </c>
      <c r="B55" s="27" t="s">
        <v>29</v>
      </c>
      <c r="C55" s="6">
        <v>46102.0</v>
      </c>
      <c r="D55" s="20" t="s">
        <v>23</v>
      </c>
      <c r="E55" s="8" t="s">
        <v>8</v>
      </c>
      <c r="F55" s="8"/>
      <c r="G55" s="9" t="s">
        <v>9</v>
      </c>
      <c r="H55" s="11" t="s">
        <v>11</v>
      </c>
      <c r="I55" s="9" t="s">
        <v>10</v>
      </c>
      <c r="J55" s="10"/>
      <c r="K55" s="9" t="s">
        <v>12</v>
      </c>
      <c r="L55" s="10"/>
      <c r="M55" s="9" t="s">
        <v>13</v>
      </c>
      <c r="N55" s="8"/>
      <c r="O55" s="9" t="s">
        <v>14</v>
      </c>
      <c r="P55" s="10"/>
      <c r="Q55" s="12" t="s">
        <v>15</v>
      </c>
      <c r="R55" s="8"/>
      <c r="S55" s="8" t="s">
        <v>16</v>
      </c>
      <c r="T55" s="8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>
        <v>22.0</v>
      </c>
      <c r="B56" s="27" t="s">
        <v>29</v>
      </c>
      <c r="C56" s="6">
        <v>46103.0</v>
      </c>
      <c r="D56" s="7" t="s">
        <v>7</v>
      </c>
      <c r="E56" s="8" t="s">
        <v>8</v>
      </c>
      <c r="F56" s="8"/>
      <c r="G56" s="9" t="s">
        <v>9</v>
      </c>
      <c r="H56" s="11" t="s">
        <v>11</v>
      </c>
      <c r="I56" s="9" t="s">
        <v>10</v>
      </c>
      <c r="J56" s="10"/>
      <c r="K56" s="9" t="s">
        <v>12</v>
      </c>
      <c r="L56" s="10"/>
      <c r="M56" s="9" t="s">
        <v>13</v>
      </c>
      <c r="N56" s="8"/>
      <c r="O56" s="9" t="s">
        <v>14</v>
      </c>
      <c r="P56" s="10"/>
      <c r="Q56" s="12" t="s">
        <v>15</v>
      </c>
      <c r="R56" s="8"/>
      <c r="S56" s="8" t="s">
        <v>16</v>
      </c>
      <c r="T56" s="8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>
        <v>23.0</v>
      </c>
      <c r="B57" s="27" t="s">
        <v>29</v>
      </c>
      <c r="C57" s="6">
        <v>46104.0</v>
      </c>
      <c r="D57" s="14" t="s">
        <v>18</v>
      </c>
      <c r="E57" s="8" t="s">
        <v>8</v>
      </c>
      <c r="F57" s="8"/>
      <c r="G57" s="9" t="s">
        <v>9</v>
      </c>
      <c r="H57" s="11" t="s">
        <v>11</v>
      </c>
      <c r="I57" s="9" t="s">
        <v>10</v>
      </c>
      <c r="J57" s="10"/>
      <c r="K57" s="9" t="s">
        <v>12</v>
      </c>
      <c r="L57" s="10"/>
      <c r="M57" s="9" t="s">
        <v>13</v>
      </c>
      <c r="N57" s="8"/>
      <c r="O57" s="9" t="s">
        <v>14</v>
      </c>
      <c r="P57" s="10"/>
      <c r="Q57" s="12" t="s">
        <v>15</v>
      </c>
      <c r="R57" s="8"/>
      <c r="S57" s="8" t="s">
        <v>16</v>
      </c>
      <c r="T57" s="8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>
        <v>24.0</v>
      </c>
      <c r="B58" s="27" t="s">
        <v>29</v>
      </c>
      <c r="C58" s="6">
        <v>46105.0</v>
      </c>
      <c r="D58" s="16" t="s">
        <v>19</v>
      </c>
      <c r="E58" s="8" t="s">
        <v>8</v>
      </c>
      <c r="F58" s="8"/>
      <c r="G58" s="9" t="s">
        <v>9</v>
      </c>
      <c r="H58" s="10"/>
      <c r="I58" s="9" t="s">
        <v>10</v>
      </c>
      <c r="J58" s="10"/>
      <c r="K58" s="9" t="s">
        <v>12</v>
      </c>
      <c r="L58" s="10"/>
      <c r="M58" s="9" t="s">
        <v>13</v>
      </c>
      <c r="N58" s="8"/>
      <c r="O58" s="9" t="s">
        <v>14</v>
      </c>
      <c r="P58" s="10"/>
      <c r="Q58" s="12" t="s">
        <v>15</v>
      </c>
      <c r="R58" s="15" t="s">
        <v>11</v>
      </c>
      <c r="S58" s="8" t="s">
        <v>16</v>
      </c>
      <c r="T58" s="8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>
        <v>25.0</v>
      </c>
      <c r="B59" s="27" t="s">
        <v>29</v>
      </c>
      <c r="C59" s="6">
        <v>46106.0</v>
      </c>
      <c r="D59" s="17" t="s">
        <v>20</v>
      </c>
      <c r="E59" s="8" t="s">
        <v>8</v>
      </c>
      <c r="F59" s="8"/>
      <c r="G59" s="9" t="s">
        <v>9</v>
      </c>
      <c r="H59" s="11" t="s">
        <v>11</v>
      </c>
      <c r="I59" s="9" t="s">
        <v>10</v>
      </c>
      <c r="J59" s="10"/>
      <c r="K59" s="9" t="s">
        <v>12</v>
      </c>
      <c r="L59" s="10"/>
      <c r="M59" s="9" t="s">
        <v>13</v>
      </c>
      <c r="N59" s="8"/>
      <c r="O59" s="9" t="s">
        <v>14</v>
      </c>
      <c r="P59" s="10"/>
      <c r="Q59" s="12" t="s">
        <v>15</v>
      </c>
      <c r="R59" s="8"/>
      <c r="S59" s="8" t="s">
        <v>16</v>
      </c>
      <c r="T59" s="8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>
        <v>26.0</v>
      </c>
      <c r="B60" s="27" t="s">
        <v>29</v>
      </c>
      <c r="C60" s="6">
        <v>46107.0</v>
      </c>
      <c r="D60" s="18" t="s">
        <v>21</v>
      </c>
      <c r="E60" s="8" t="s">
        <v>8</v>
      </c>
      <c r="F60" s="8"/>
      <c r="G60" s="9" t="s">
        <v>9</v>
      </c>
      <c r="H60" s="11" t="s">
        <v>11</v>
      </c>
      <c r="I60" s="9" t="s">
        <v>10</v>
      </c>
      <c r="J60" s="10"/>
      <c r="K60" s="9" t="s">
        <v>12</v>
      </c>
      <c r="L60" s="10"/>
      <c r="M60" s="9" t="s">
        <v>13</v>
      </c>
      <c r="N60" s="8"/>
      <c r="O60" s="9" t="s">
        <v>14</v>
      </c>
      <c r="P60" s="10"/>
      <c r="Q60" s="12" t="s">
        <v>15</v>
      </c>
      <c r="R60" s="8"/>
      <c r="S60" s="8" t="s">
        <v>16</v>
      </c>
      <c r="T60" s="8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>
        <v>27.0</v>
      </c>
      <c r="B61" s="27" t="s">
        <v>29</v>
      </c>
      <c r="C61" s="6">
        <v>46108.0</v>
      </c>
      <c r="D61" s="19" t="s">
        <v>22</v>
      </c>
      <c r="E61" s="8" t="s">
        <v>8</v>
      </c>
      <c r="F61" s="8"/>
      <c r="G61" s="9" t="s">
        <v>9</v>
      </c>
      <c r="H61" s="11" t="s">
        <v>11</v>
      </c>
      <c r="I61" s="9" t="s">
        <v>10</v>
      </c>
      <c r="J61" s="10"/>
      <c r="K61" s="9" t="s">
        <v>12</v>
      </c>
      <c r="L61" s="10"/>
      <c r="M61" s="9" t="s">
        <v>13</v>
      </c>
      <c r="N61" s="8"/>
      <c r="O61" s="9" t="s">
        <v>14</v>
      </c>
      <c r="P61" s="10"/>
      <c r="Q61" s="12" t="s">
        <v>15</v>
      </c>
      <c r="R61" s="8"/>
      <c r="S61" s="8" t="s">
        <v>16</v>
      </c>
      <c r="T61" s="8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>
        <v>28.0</v>
      </c>
      <c r="B62" s="27" t="s">
        <v>29</v>
      </c>
      <c r="C62" s="6">
        <v>46109.0</v>
      </c>
      <c r="D62" s="20" t="s">
        <v>23</v>
      </c>
      <c r="E62" s="8" t="s">
        <v>8</v>
      </c>
      <c r="F62" s="15" t="s">
        <v>11</v>
      </c>
      <c r="G62" s="9" t="s">
        <v>9</v>
      </c>
      <c r="H62" s="10"/>
      <c r="I62" s="9" t="s">
        <v>10</v>
      </c>
      <c r="J62" s="10"/>
      <c r="K62" s="9" t="s">
        <v>12</v>
      </c>
      <c r="L62" s="10"/>
      <c r="M62" s="9" t="s">
        <v>13</v>
      </c>
      <c r="N62" s="8"/>
      <c r="O62" s="9" t="s">
        <v>14</v>
      </c>
      <c r="P62" s="10"/>
      <c r="Q62" s="12" t="s">
        <v>15</v>
      </c>
      <c r="R62" s="15" t="s">
        <v>11</v>
      </c>
      <c r="S62" s="8" t="s">
        <v>16</v>
      </c>
      <c r="T62" s="8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>
        <v>29.0</v>
      </c>
      <c r="B63" s="27" t="s">
        <v>29</v>
      </c>
      <c r="C63" s="6">
        <v>46110.0</v>
      </c>
      <c r="D63" s="7" t="s">
        <v>7</v>
      </c>
      <c r="E63" s="8" t="s">
        <v>8</v>
      </c>
      <c r="F63" s="15" t="s">
        <v>11</v>
      </c>
      <c r="G63" s="9" t="s">
        <v>9</v>
      </c>
      <c r="H63" s="10"/>
      <c r="I63" s="9" t="s">
        <v>10</v>
      </c>
      <c r="J63" s="10"/>
      <c r="K63" s="9" t="s">
        <v>12</v>
      </c>
      <c r="L63" s="10"/>
      <c r="M63" s="9" t="s">
        <v>13</v>
      </c>
      <c r="N63" s="8"/>
      <c r="O63" s="9" t="s">
        <v>14</v>
      </c>
      <c r="P63" s="10"/>
      <c r="Q63" s="12" t="s">
        <v>15</v>
      </c>
      <c r="R63" s="8"/>
      <c r="S63" s="8" t="s">
        <v>16</v>
      </c>
      <c r="T63" s="8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>
        <v>30.0</v>
      </c>
      <c r="B64" s="27" t="s">
        <v>29</v>
      </c>
      <c r="C64" s="6">
        <v>46111.0</v>
      </c>
      <c r="D64" s="14" t="s">
        <v>18</v>
      </c>
      <c r="E64" s="8" t="s">
        <v>8</v>
      </c>
      <c r="F64" s="15" t="s">
        <v>11</v>
      </c>
      <c r="G64" s="9" t="s">
        <v>9</v>
      </c>
      <c r="H64" s="10"/>
      <c r="I64" s="9" t="s">
        <v>10</v>
      </c>
      <c r="J64" s="10"/>
      <c r="K64" s="9" t="s">
        <v>12</v>
      </c>
      <c r="L64" s="10"/>
      <c r="M64" s="9" t="s">
        <v>13</v>
      </c>
      <c r="N64" s="8"/>
      <c r="O64" s="9" t="s">
        <v>14</v>
      </c>
      <c r="P64" s="10"/>
      <c r="Q64" s="12" t="s">
        <v>15</v>
      </c>
      <c r="R64" s="8"/>
      <c r="S64" s="8" t="s">
        <v>16</v>
      </c>
      <c r="T64" s="8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>
        <v>31.0</v>
      </c>
      <c r="B65" s="27" t="s">
        <v>29</v>
      </c>
      <c r="C65" s="6">
        <v>46112.0</v>
      </c>
      <c r="D65" s="16" t="s">
        <v>19</v>
      </c>
      <c r="E65" s="8" t="s">
        <v>8</v>
      </c>
      <c r="F65" s="8"/>
      <c r="G65" s="9" t="s">
        <v>9</v>
      </c>
      <c r="H65" s="10"/>
      <c r="I65" s="9" t="s">
        <v>10</v>
      </c>
      <c r="J65" s="10"/>
      <c r="K65" s="9" t="s">
        <v>12</v>
      </c>
      <c r="L65" s="10"/>
      <c r="M65" s="9" t="s">
        <v>13</v>
      </c>
      <c r="N65" s="8"/>
      <c r="O65" s="9" t="s">
        <v>14</v>
      </c>
      <c r="P65" s="10"/>
      <c r="Q65" s="12" t="s">
        <v>15</v>
      </c>
      <c r="R65" s="15" t="s">
        <v>11</v>
      </c>
      <c r="S65" s="8" t="s">
        <v>16</v>
      </c>
      <c r="T65" s="8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4"/>
      <c r="C66" s="4"/>
      <c r="D66" s="4"/>
      <c r="E66" s="4"/>
      <c r="F66" s="4"/>
      <c r="G66" s="4"/>
      <c r="H66" s="4"/>
      <c r="I66" s="28" t="s">
        <v>31</v>
      </c>
      <c r="J66" s="4"/>
      <c r="K66" s="4"/>
      <c r="L66" s="4"/>
      <c r="M66" s="4"/>
      <c r="N66" s="8"/>
      <c r="O66" s="4" t="s">
        <v>32</v>
      </c>
      <c r="P66" s="4" t="s">
        <v>33</v>
      </c>
      <c r="Q66" s="21"/>
      <c r="R66" s="29"/>
      <c r="S66" s="30"/>
      <c r="T66" s="31"/>
      <c r="U66" s="31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1" t="s">
        <v>0</v>
      </c>
      <c r="B67" s="1" t="s">
        <v>1</v>
      </c>
      <c r="C67" s="2" t="s">
        <v>2</v>
      </c>
      <c r="D67" s="2" t="s">
        <v>3</v>
      </c>
      <c r="E67" s="2" t="s">
        <v>4</v>
      </c>
      <c r="F67" s="2" t="s">
        <v>5</v>
      </c>
      <c r="G67" s="2" t="s">
        <v>4</v>
      </c>
      <c r="H67" s="2" t="s">
        <v>5</v>
      </c>
      <c r="I67" s="2" t="s">
        <v>4</v>
      </c>
      <c r="J67" s="2" t="s">
        <v>5</v>
      </c>
      <c r="K67" s="2" t="s">
        <v>4</v>
      </c>
      <c r="L67" s="2" t="s">
        <v>5</v>
      </c>
      <c r="M67" s="2" t="s">
        <v>4</v>
      </c>
      <c r="N67" s="2" t="s">
        <v>5</v>
      </c>
      <c r="O67" s="4">
        <f>2000*4</f>
        <v>8000</v>
      </c>
      <c r="P67" s="4"/>
      <c r="Q67" s="21"/>
      <c r="R67" s="29"/>
      <c r="S67" s="30"/>
      <c r="T67" s="31"/>
      <c r="U67" s="31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>
        <v>1.0</v>
      </c>
      <c r="B68" s="27" t="s">
        <v>34</v>
      </c>
      <c r="C68" s="6">
        <v>46082.0</v>
      </c>
      <c r="D68" s="7" t="s">
        <v>7</v>
      </c>
      <c r="E68" s="9" t="s">
        <v>35</v>
      </c>
      <c r="F68" s="4"/>
      <c r="G68" s="9" t="s">
        <v>10</v>
      </c>
      <c r="H68" s="8"/>
      <c r="I68" s="9" t="s">
        <v>24</v>
      </c>
      <c r="J68" s="8"/>
      <c r="K68" s="9" t="s">
        <v>14</v>
      </c>
      <c r="L68" s="8"/>
      <c r="M68" s="12" t="s">
        <v>26</v>
      </c>
      <c r="N68" s="8"/>
      <c r="O68" s="4"/>
      <c r="P68" s="4"/>
      <c r="Q68" s="9"/>
      <c r="R68" s="25"/>
      <c r="S68" s="12"/>
      <c r="T68" s="8"/>
      <c r="U68" s="8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>
        <v>2.0</v>
      </c>
      <c r="B69" s="27" t="s">
        <v>34</v>
      </c>
      <c r="C69" s="6">
        <v>46083.0</v>
      </c>
      <c r="D69" s="14" t="s">
        <v>18</v>
      </c>
      <c r="E69" s="9" t="s">
        <v>35</v>
      </c>
      <c r="F69" s="4"/>
      <c r="G69" s="9" t="s">
        <v>10</v>
      </c>
      <c r="H69" s="8"/>
      <c r="I69" s="9" t="s">
        <v>24</v>
      </c>
      <c r="J69" s="8"/>
      <c r="K69" s="9" t="s">
        <v>14</v>
      </c>
      <c r="L69" s="8"/>
      <c r="M69" s="12" t="s">
        <v>26</v>
      </c>
      <c r="N69" s="8"/>
      <c r="O69" s="4"/>
      <c r="P69" s="4"/>
      <c r="Q69" s="9"/>
      <c r="R69" s="25"/>
      <c r="S69" s="12"/>
      <c r="T69" s="8"/>
      <c r="U69" s="8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>
        <v>3.0</v>
      </c>
      <c r="B70" s="27" t="s">
        <v>34</v>
      </c>
      <c r="C70" s="6">
        <v>46084.0</v>
      </c>
      <c r="D70" s="16" t="s">
        <v>19</v>
      </c>
      <c r="E70" s="9" t="s">
        <v>35</v>
      </c>
      <c r="F70" s="8"/>
      <c r="G70" s="9" t="s">
        <v>10</v>
      </c>
      <c r="H70" s="8"/>
      <c r="I70" s="9" t="s">
        <v>24</v>
      </c>
      <c r="J70" s="8"/>
      <c r="K70" s="9" t="s">
        <v>14</v>
      </c>
      <c r="L70" s="8"/>
      <c r="M70" s="12" t="s">
        <v>26</v>
      </c>
      <c r="N70" s="8"/>
      <c r="O70" s="4"/>
      <c r="P70" s="4"/>
      <c r="Q70" s="9"/>
      <c r="R70" s="9"/>
      <c r="S70" s="12"/>
      <c r="T70" s="8"/>
      <c r="U70" s="8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>
        <v>4.0</v>
      </c>
      <c r="B71" s="27" t="s">
        <v>34</v>
      </c>
      <c r="C71" s="6">
        <v>46085.0</v>
      </c>
      <c r="D71" s="17" t="s">
        <v>20</v>
      </c>
      <c r="E71" s="9" t="s">
        <v>35</v>
      </c>
      <c r="F71" s="8"/>
      <c r="G71" s="9" t="s">
        <v>10</v>
      </c>
      <c r="H71" s="8"/>
      <c r="I71" s="9" t="s">
        <v>24</v>
      </c>
      <c r="J71" s="8"/>
      <c r="K71" s="9" t="s">
        <v>14</v>
      </c>
      <c r="L71" s="8"/>
      <c r="M71" s="12" t="s">
        <v>26</v>
      </c>
      <c r="N71" s="8"/>
      <c r="O71" s="4"/>
      <c r="P71" s="4"/>
      <c r="Q71" s="9"/>
      <c r="R71" s="25"/>
      <c r="S71" s="12"/>
      <c r="T71" s="8"/>
      <c r="U71" s="8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>
        <v>5.0</v>
      </c>
      <c r="B72" s="27" t="s">
        <v>34</v>
      </c>
      <c r="C72" s="6">
        <v>46086.0</v>
      </c>
      <c r="D72" s="18" t="s">
        <v>21</v>
      </c>
      <c r="E72" s="9" t="s">
        <v>35</v>
      </c>
      <c r="F72" s="8"/>
      <c r="G72" s="9" t="s">
        <v>10</v>
      </c>
      <c r="H72" s="8"/>
      <c r="I72" s="9" t="s">
        <v>24</v>
      </c>
      <c r="J72" s="8"/>
      <c r="K72" s="9" t="s">
        <v>14</v>
      </c>
      <c r="L72" s="8"/>
      <c r="M72" s="12" t="s">
        <v>26</v>
      </c>
      <c r="N72" s="8"/>
      <c r="O72" s="4"/>
      <c r="P72" s="4"/>
      <c r="Q72" s="9"/>
      <c r="R72" s="25"/>
      <c r="S72" s="12"/>
      <c r="T72" s="8"/>
      <c r="U72" s="8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>
        <v>6.0</v>
      </c>
      <c r="B73" s="27" t="s">
        <v>34</v>
      </c>
      <c r="C73" s="6">
        <v>46087.0</v>
      </c>
      <c r="D73" s="19" t="s">
        <v>22</v>
      </c>
      <c r="E73" s="9" t="s">
        <v>35</v>
      </c>
      <c r="F73" s="8"/>
      <c r="G73" s="9" t="s">
        <v>10</v>
      </c>
      <c r="H73" s="8"/>
      <c r="I73" s="9" t="s">
        <v>24</v>
      </c>
      <c r="J73" s="8"/>
      <c r="K73" s="9" t="s">
        <v>14</v>
      </c>
      <c r="L73" s="8"/>
      <c r="M73" s="12" t="s">
        <v>26</v>
      </c>
      <c r="N73" s="8"/>
      <c r="O73" s="4"/>
      <c r="P73" s="4"/>
      <c r="Q73" s="9"/>
      <c r="R73" s="25"/>
      <c r="S73" s="12"/>
      <c r="T73" s="8"/>
      <c r="U73" s="8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>
        <v>7.0</v>
      </c>
      <c r="B74" s="27" t="s">
        <v>34</v>
      </c>
      <c r="C74" s="6">
        <v>46088.0</v>
      </c>
      <c r="D74" s="20" t="s">
        <v>23</v>
      </c>
      <c r="E74" s="9" t="s">
        <v>35</v>
      </c>
      <c r="F74" s="8"/>
      <c r="G74" s="9" t="s">
        <v>10</v>
      </c>
      <c r="H74" s="8"/>
      <c r="I74" s="9" t="s">
        <v>24</v>
      </c>
      <c r="J74" s="8"/>
      <c r="K74" s="9" t="s">
        <v>14</v>
      </c>
      <c r="L74" s="8"/>
      <c r="M74" s="12" t="s">
        <v>26</v>
      </c>
      <c r="N74" s="8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>
        <v>8.0</v>
      </c>
      <c r="B75" s="27" t="s">
        <v>34</v>
      </c>
      <c r="C75" s="6">
        <v>46089.0</v>
      </c>
      <c r="D75" s="7" t="s">
        <v>7</v>
      </c>
      <c r="E75" s="9" t="s">
        <v>35</v>
      </c>
      <c r="F75" s="8"/>
      <c r="G75" s="9" t="s">
        <v>10</v>
      </c>
      <c r="H75" s="8"/>
      <c r="I75" s="9" t="s">
        <v>24</v>
      </c>
      <c r="J75" s="8"/>
      <c r="K75" s="9" t="s">
        <v>14</v>
      </c>
      <c r="L75" s="8"/>
      <c r="M75" s="12" t="s">
        <v>26</v>
      </c>
      <c r="N75" s="8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>
        <v>9.0</v>
      </c>
      <c r="B76" s="27" t="s">
        <v>34</v>
      </c>
      <c r="C76" s="6">
        <v>46090.0</v>
      </c>
      <c r="D76" s="14" t="s">
        <v>18</v>
      </c>
      <c r="E76" s="9" t="s">
        <v>35</v>
      </c>
      <c r="F76" s="8"/>
      <c r="G76" s="9" t="s">
        <v>10</v>
      </c>
      <c r="H76" s="8"/>
      <c r="I76" s="9" t="s">
        <v>24</v>
      </c>
      <c r="J76" s="8"/>
      <c r="K76" s="9" t="s">
        <v>14</v>
      </c>
      <c r="L76" s="8"/>
      <c r="M76" s="12" t="s">
        <v>26</v>
      </c>
      <c r="N76" s="8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>
        <v>10.0</v>
      </c>
      <c r="B77" s="27" t="s">
        <v>34</v>
      </c>
      <c r="C77" s="6">
        <v>46091.0</v>
      </c>
      <c r="D77" s="16" t="s">
        <v>19</v>
      </c>
      <c r="E77" s="9" t="s">
        <v>35</v>
      </c>
      <c r="F77" s="8"/>
      <c r="G77" s="9" t="s">
        <v>10</v>
      </c>
      <c r="H77" s="8"/>
      <c r="I77" s="9" t="s">
        <v>24</v>
      </c>
      <c r="J77" s="8"/>
      <c r="K77" s="9" t="s">
        <v>14</v>
      </c>
      <c r="L77" s="8"/>
      <c r="M77" s="12" t="s">
        <v>26</v>
      </c>
      <c r="N77" s="8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>
        <v>11.0</v>
      </c>
      <c r="B78" s="27" t="s">
        <v>34</v>
      </c>
      <c r="C78" s="6">
        <v>46092.0</v>
      </c>
      <c r="D78" s="17" t="s">
        <v>20</v>
      </c>
      <c r="E78" s="9" t="s">
        <v>35</v>
      </c>
      <c r="F78" s="8"/>
      <c r="G78" s="9" t="s">
        <v>10</v>
      </c>
      <c r="H78" s="8"/>
      <c r="I78" s="9" t="s">
        <v>24</v>
      </c>
      <c r="J78" s="8"/>
      <c r="K78" s="9" t="s">
        <v>14</v>
      </c>
      <c r="L78" s="8"/>
      <c r="M78" s="12" t="s">
        <v>26</v>
      </c>
      <c r="N78" s="8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>
        <v>12.0</v>
      </c>
      <c r="B79" s="27" t="s">
        <v>34</v>
      </c>
      <c r="C79" s="6">
        <v>46093.0</v>
      </c>
      <c r="D79" s="18" t="s">
        <v>21</v>
      </c>
      <c r="E79" s="9" t="s">
        <v>35</v>
      </c>
      <c r="F79" s="8"/>
      <c r="G79" s="9" t="s">
        <v>10</v>
      </c>
      <c r="H79" s="8"/>
      <c r="I79" s="9" t="s">
        <v>24</v>
      </c>
      <c r="J79" s="8"/>
      <c r="K79" s="9" t="s">
        <v>14</v>
      </c>
      <c r="L79" s="8"/>
      <c r="M79" s="12" t="s">
        <v>26</v>
      </c>
      <c r="N79" s="8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>
        <v>13.0</v>
      </c>
      <c r="B80" s="27" t="s">
        <v>34</v>
      </c>
      <c r="C80" s="6">
        <v>46094.0</v>
      </c>
      <c r="D80" s="19" t="s">
        <v>22</v>
      </c>
      <c r="E80" s="9" t="s">
        <v>35</v>
      </c>
      <c r="F80" s="8"/>
      <c r="G80" s="9" t="s">
        <v>10</v>
      </c>
      <c r="H80" s="8"/>
      <c r="I80" s="9" t="s">
        <v>24</v>
      </c>
      <c r="J80" s="8"/>
      <c r="K80" s="9" t="s">
        <v>14</v>
      </c>
      <c r="L80" s="8"/>
      <c r="M80" s="12" t="s">
        <v>26</v>
      </c>
      <c r="N80" s="8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>
        <v>14.0</v>
      </c>
      <c r="B81" s="27" t="s">
        <v>34</v>
      </c>
      <c r="C81" s="6">
        <v>46095.0</v>
      </c>
      <c r="D81" s="20" t="s">
        <v>23</v>
      </c>
      <c r="E81" s="9" t="s">
        <v>35</v>
      </c>
      <c r="F81" s="8"/>
      <c r="G81" s="9" t="s">
        <v>10</v>
      </c>
      <c r="H81" s="8"/>
      <c r="I81" s="9" t="s">
        <v>24</v>
      </c>
      <c r="J81" s="8"/>
      <c r="K81" s="9" t="s">
        <v>14</v>
      </c>
      <c r="L81" s="8"/>
      <c r="M81" s="12" t="s">
        <v>26</v>
      </c>
      <c r="N81" s="8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>
        <v>15.0</v>
      </c>
      <c r="B82" s="27" t="s">
        <v>34</v>
      </c>
      <c r="C82" s="6">
        <v>46096.0</v>
      </c>
      <c r="D82" s="7" t="s">
        <v>7</v>
      </c>
      <c r="E82" s="9" t="s">
        <v>35</v>
      </c>
      <c r="F82" s="8"/>
      <c r="G82" s="9" t="s">
        <v>10</v>
      </c>
      <c r="H82" s="8"/>
      <c r="I82" s="9" t="s">
        <v>24</v>
      </c>
      <c r="J82" s="8"/>
      <c r="K82" s="9" t="s">
        <v>14</v>
      </c>
      <c r="L82" s="8"/>
      <c r="M82" s="12" t="s">
        <v>26</v>
      </c>
      <c r="N82" s="8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>
        <v>16.0</v>
      </c>
      <c r="B83" s="27" t="s">
        <v>34</v>
      </c>
      <c r="C83" s="6">
        <v>46097.0</v>
      </c>
      <c r="D83" s="14" t="s">
        <v>18</v>
      </c>
      <c r="E83" s="9" t="s">
        <v>35</v>
      </c>
      <c r="F83" s="8"/>
      <c r="G83" s="9" t="s">
        <v>10</v>
      </c>
      <c r="H83" s="8"/>
      <c r="I83" s="9" t="s">
        <v>24</v>
      </c>
      <c r="J83" s="8"/>
      <c r="K83" s="9" t="s">
        <v>14</v>
      </c>
      <c r="L83" s="8"/>
      <c r="M83" s="12" t="s">
        <v>26</v>
      </c>
      <c r="N83" s="8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>
        <v>17.0</v>
      </c>
      <c r="B84" s="27" t="s">
        <v>34</v>
      </c>
      <c r="C84" s="6">
        <v>46098.0</v>
      </c>
      <c r="D84" s="16" t="s">
        <v>19</v>
      </c>
      <c r="E84" s="9" t="s">
        <v>35</v>
      </c>
      <c r="F84" s="8"/>
      <c r="G84" s="9" t="s">
        <v>10</v>
      </c>
      <c r="H84" s="8"/>
      <c r="I84" s="9" t="s">
        <v>24</v>
      </c>
      <c r="J84" s="8"/>
      <c r="K84" s="9" t="s">
        <v>14</v>
      </c>
      <c r="L84" s="8"/>
      <c r="M84" s="12" t="s">
        <v>26</v>
      </c>
      <c r="N84" s="8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>
        <v>18.0</v>
      </c>
      <c r="B85" s="27" t="s">
        <v>34</v>
      </c>
      <c r="C85" s="6">
        <v>46099.0</v>
      </c>
      <c r="D85" s="17" t="s">
        <v>20</v>
      </c>
      <c r="E85" s="9" t="s">
        <v>35</v>
      </c>
      <c r="F85" s="8"/>
      <c r="G85" s="9" t="s">
        <v>10</v>
      </c>
      <c r="H85" s="8"/>
      <c r="I85" s="9" t="s">
        <v>24</v>
      </c>
      <c r="J85" s="8"/>
      <c r="K85" s="9" t="s">
        <v>14</v>
      </c>
      <c r="L85" s="8"/>
      <c r="M85" s="12" t="s">
        <v>26</v>
      </c>
      <c r="N85" s="8"/>
      <c r="O85" s="4">
        <f>15*200</f>
        <v>3000</v>
      </c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>
        <v>19.0</v>
      </c>
      <c r="B86" s="27" t="s">
        <v>34</v>
      </c>
      <c r="C86" s="6">
        <v>46100.0</v>
      </c>
      <c r="D86" s="21" t="s">
        <v>21</v>
      </c>
      <c r="E86" s="9" t="s">
        <v>35</v>
      </c>
      <c r="F86" s="8"/>
      <c r="G86" s="9" t="s">
        <v>10</v>
      </c>
      <c r="H86" s="8"/>
      <c r="I86" s="9" t="s">
        <v>24</v>
      </c>
      <c r="J86" s="8"/>
      <c r="K86" s="9" t="s">
        <v>14</v>
      </c>
      <c r="L86" s="8"/>
      <c r="M86" s="12" t="s">
        <v>26</v>
      </c>
      <c r="N86" s="8"/>
      <c r="O86" s="4">
        <f>8*200</f>
        <v>1600</v>
      </c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>
        <v>20.0</v>
      </c>
      <c r="B87" s="27" t="s">
        <v>34</v>
      </c>
      <c r="C87" s="6">
        <v>46101.0</v>
      </c>
      <c r="D87" s="19" t="s">
        <v>22</v>
      </c>
      <c r="E87" s="9" t="s">
        <v>35</v>
      </c>
      <c r="F87" s="8"/>
      <c r="G87" s="9" t="s">
        <v>10</v>
      </c>
      <c r="H87" s="8"/>
      <c r="I87" s="9" t="s">
        <v>24</v>
      </c>
      <c r="J87" s="8"/>
      <c r="K87" s="9" t="s">
        <v>14</v>
      </c>
      <c r="L87" s="8"/>
      <c r="M87" s="12" t="s">
        <v>26</v>
      </c>
      <c r="N87" s="8"/>
      <c r="O87" s="4">
        <f>200*10</f>
        <v>2000</v>
      </c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>
        <v>21.0</v>
      </c>
      <c r="B88" s="27" t="s">
        <v>34</v>
      </c>
      <c r="C88" s="6">
        <v>46102.0</v>
      </c>
      <c r="D88" s="20" t="s">
        <v>23</v>
      </c>
      <c r="E88" s="9" t="s">
        <v>35</v>
      </c>
      <c r="F88" s="8"/>
      <c r="G88" s="9" t="s">
        <v>10</v>
      </c>
      <c r="H88" s="8"/>
      <c r="I88" s="9" t="s">
        <v>24</v>
      </c>
      <c r="J88" s="8"/>
      <c r="K88" s="9" t="s">
        <v>14</v>
      </c>
      <c r="L88" s="8"/>
      <c r="M88" s="12" t="s">
        <v>26</v>
      </c>
      <c r="N88" s="8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>
        <v>22.0</v>
      </c>
      <c r="B89" s="27" t="s">
        <v>34</v>
      </c>
      <c r="C89" s="6">
        <v>46103.0</v>
      </c>
      <c r="D89" s="7" t="s">
        <v>7</v>
      </c>
      <c r="E89" s="9" t="s">
        <v>35</v>
      </c>
      <c r="F89" s="8"/>
      <c r="G89" s="9" t="s">
        <v>10</v>
      </c>
      <c r="H89" s="8"/>
      <c r="I89" s="9" t="s">
        <v>24</v>
      </c>
      <c r="J89" s="8"/>
      <c r="K89" s="9" t="s">
        <v>14</v>
      </c>
      <c r="L89" s="8"/>
      <c r="M89" s="12" t="s">
        <v>26</v>
      </c>
      <c r="N89" s="8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>
        <v>23.0</v>
      </c>
      <c r="B90" s="27" t="s">
        <v>34</v>
      </c>
      <c r="C90" s="6">
        <v>46104.0</v>
      </c>
      <c r="D90" s="14" t="s">
        <v>18</v>
      </c>
      <c r="E90" s="9" t="s">
        <v>35</v>
      </c>
      <c r="F90" s="8"/>
      <c r="G90" s="9" t="s">
        <v>10</v>
      </c>
      <c r="H90" s="8"/>
      <c r="I90" s="9" t="s">
        <v>24</v>
      </c>
      <c r="J90" s="8"/>
      <c r="K90" s="9" t="s">
        <v>14</v>
      </c>
      <c r="L90" s="8"/>
      <c r="M90" s="12" t="s">
        <v>26</v>
      </c>
      <c r="N90" s="8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>
        <v>24.0</v>
      </c>
      <c r="B91" s="27" t="s">
        <v>34</v>
      </c>
      <c r="C91" s="6">
        <v>46105.0</v>
      </c>
      <c r="D91" s="16" t="s">
        <v>19</v>
      </c>
      <c r="E91" s="9" t="s">
        <v>35</v>
      </c>
      <c r="F91" s="8"/>
      <c r="G91" s="9" t="s">
        <v>10</v>
      </c>
      <c r="H91" s="8"/>
      <c r="I91" s="9" t="s">
        <v>24</v>
      </c>
      <c r="J91" s="8"/>
      <c r="K91" s="9" t="s">
        <v>14</v>
      </c>
      <c r="L91" s="8"/>
      <c r="M91" s="12" t="s">
        <v>26</v>
      </c>
      <c r="N91" s="8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>
        <v>25.0</v>
      </c>
      <c r="B92" s="27" t="s">
        <v>34</v>
      </c>
      <c r="C92" s="6">
        <v>46106.0</v>
      </c>
      <c r="D92" s="17" t="s">
        <v>20</v>
      </c>
      <c r="E92" s="9" t="s">
        <v>35</v>
      </c>
      <c r="F92" s="8"/>
      <c r="G92" s="9" t="s">
        <v>10</v>
      </c>
      <c r="H92" s="8"/>
      <c r="I92" s="9" t="s">
        <v>24</v>
      </c>
      <c r="J92" s="8"/>
      <c r="K92" s="9" t="s">
        <v>14</v>
      </c>
      <c r="L92" s="8"/>
      <c r="M92" s="12" t="s">
        <v>26</v>
      </c>
      <c r="N92" s="8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>
        <v>26.0</v>
      </c>
      <c r="B93" s="27" t="s">
        <v>34</v>
      </c>
      <c r="C93" s="6">
        <v>46107.0</v>
      </c>
      <c r="D93" s="18" t="s">
        <v>21</v>
      </c>
      <c r="E93" s="9" t="s">
        <v>35</v>
      </c>
      <c r="F93" s="8"/>
      <c r="G93" s="9" t="s">
        <v>10</v>
      </c>
      <c r="H93" s="8"/>
      <c r="I93" s="9" t="s">
        <v>24</v>
      </c>
      <c r="J93" s="8"/>
      <c r="K93" s="9" t="s">
        <v>14</v>
      </c>
      <c r="L93" s="8"/>
      <c r="M93" s="12" t="s">
        <v>26</v>
      </c>
      <c r="N93" s="8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>
        <v>27.0</v>
      </c>
      <c r="B94" s="27" t="s">
        <v>34</v>
      </c>
      <c r="C94" s="6">
        <v>46108.0</v>
      </c>
      <c r="D94" s="19" t="s">
        <v>22</v>
      </c>
      <c r="E94" s="9" t="s">
        <v>9</v>
      </c>
      <c r="F94" s="8"/>
      <c r="G94" s="9" t="s">
        <v>10</v>
      </c>
      <c r="H94" s="8"/>
      <c r="I94" s="9" t="s">
        <v>24</v>
      </c>
      <c r="J94" s="8"/>
      <c r="K94" s="9" t="s">
        <v>14</v>
      </c>
      <c r="L94" s="8"/>
      <c r="M94" s="12" t="s">
        <v>26</v>
      </c>
      <c r="N94" s="8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>
        <v>28.0</v>
      </c>
      <c r="B95" s="27" t="s">
        <v>34</v>
      </c>
      <c r="C95" s="6">
        <v>46109.0</v>
      </c>
      <c r="D95" s="20" t="s">
        <v>23</v>
      </c>
      <c r="E95" s="9" t="s">
        <v>9</v>
      </c>
      <c r="F95" s="8"/>
      <c r="G95" s="9" t="s">
        <v>10</v>
      </c>
      <c r="H95" s="8"/>
      <c r="I95" s="9" t="s">
        <v>24</v>
      </c>
      <c r="J95" s="8"/>
      <c r="K95" s="9" t="s">
        <v>14</v>
      </c>
      <c r="L95" s="8"/>
      <c r="M95" s="12" t="s">
        <v>26</v>
      </c>
      <c r="N95" s="8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>
        <v>29.0</v>
      </c>
      <c r="B96" s="27" t="s">
        <v>34</v>
      </c>
      <c r="C96" s="6">
        <v>46110.0</v>
      </c>
      <c r="D96" s="7" t="s">
        <v>7</v>
      </c>
      <c r="E96" s="9" t="s">
        <v>35</v>
      </c>
      <c r="F96" s="8"/>
      <c r="G96" s="9" t="s">
        <v>10</v>
      </c>
      <c r="H96" s="8"/>
      <c r="I96" s="9" t="s">
        <v>24</v>
      </c>
      <c r="J96" s="8"/>
      <c r="K96" s="9" t="s">
        <v>14</v>
      </c>
      <c r="L96" s="8"/>
      <c r="M96" s="12" t="s">
        <v>26</v>
      </c>
      <c r="N96" s="8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>
        <v>30.0</v>
      </c>
      <c r="B97" s="27" t="s">
        <v>34</v>
      </c>
      <c r="C97" s="6">
        <v>46111.0</v>
      </c>
      <c r="D97" s="14" t="s">
        <v>18</v>
      </c>
      <c r="E97" s="9" t="s">
        <v>9</v>
      </c>
      <c r="F97" s="8"/>
      <c r="G97" s="9" t="s">
        <v>10</v>
      </c>
      <c r="H97" s="8"/>
      <c r="I97" s="9" t="s">
        <v>24</v>
      </c>
      <c r="J97" s="8"/>
      <c r="K97" s="9" t="s">
        <v>14</v>
      </c>
      <c r="L97" s="8"/>
      <c r="M97" s="12" t="s">
        <v>26</v>
      </c>
      <c r="N97" s="8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>
        <v>31.0</v>
      </c>
      <c r="B98" s="27" t="s">
        <v>34</v>
      </c>
      <c r="C98" s="6">
        <v>46112.0</v>
      </c>
      <c r="D98" s="16" t="s">
        <v>19</v>
      </c>
      <c r="E98" s="9" t="s">
        <v>9</v>
      </c>
      <c r="F98" s="8"/>
      <c r="G98" s="9" t="s">
        <v>10</v>
      </c>
      <c r="H98" s="8"/>
      <c r="I98" s="9" t="s">
        <v>24</v>
      </c>
      <c r="J98" s="8"/>
      <c r="K98" s="9" t="s">
        <v>14</v>
      </c>
      <c r="L98" s="8"/>
      <c r="M98" s="12" t="s">
        <v>26</v>
      </c>
      <c r="N98" s="8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32" t="s">
        <v>36</v>
      </c>
      <c r="B100" s="33" t="s">
        <v>37</v>
      </c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34" t="s">
        <v>38</v>
      </c>
      <c r="B101" s="33" t="s">
        <v>39</v>
      </c>
      <c r="C101" s="35" t="s">
        <v>40</v>
      </c>
      <c r="D101" s="35" t="s">
        <v>41</v>
      </c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32" t="s">
        <v>42</v>
      </c>
      <c r="B102" s="33" t="s">
        <v>43</v>
      </c>
      <c r="C102" s="4" t="s">
        <v>44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4"/>
      <c r="C103" s="36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37" t="s">
        <v>45</v>
      </c>
      <c r="B104" s="38" t="s">
        <v>46</v>
      </c>
      <c r="C104" s="39" t="s">
        <v>47</v>
      </c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0" t="s">
        <v>11</v>
      </c>
      <c r="B105" s="41">
        <v>17.24730769</v>
      </c>
      <c r="C105" s="42" t="s">
        <v>48</v>
      </c>
      <c r="D105" s="4" t="s">
        <v>49</v>
      </c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0" t="s">
        <v>50</v>
      </c>
      <c r="B106" s="41">
        <v>11.50725806</v>
      </c>
      <c r="C106" s="43"/>
      <c r="D106" s="4" t="s">
        <v>51</v>
      </c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4" t="s">
        <v>52</v>
      </c>
      <c r="B107" s="41">
        <v>10.75992063</v>
      </c>
      <c r="C107" s="45"/>
      <c r="D107" s="4" t="s">
        <v>53</v>
      </c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6" t="s">
        <v>54</v>
      </c>
      <c r="B108" s="41">
        <v>9.791428571</v>
      </c>
      <c r="C108" s="42" t="s">
        <v>55</v>
      </c>
      <c r="D108" s="4" t="s">
        <v>44</v>
      </c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6" t="s">
        <v>56</v>
      </c>
      <c r="B109" s="41">
        <v>6.88</v>
      </c>
      <c r="C109" s="43"/>
      <c r="D109" s="35" t="s">
        <v>40</v>
      </c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7" t="s">
        <v>57</v>
      </c>
      <c r="B110" s="41">
        <v>7.253401639</v>
      </c>
      <c r="C110" s="43"/>
      <c r="D110" s="35" t="s">
        <v>41</v>
      </c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6" t="s">
        <v>58</v>
      </c>
      <c r="B111" s="41">
        <v>5.285652174</v>
      </c>
      <c r="C111" s="43"/>
      <c r="D111" s="4" t="s">
        <v>59</v>
      </c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7" t="s">
        <v>60</v>
      </c>
      <c r="B112" s="41">
        <v>6.647287234</v>
      </c>
      <c r="C112" s="45"/>
      <c r="D112" s="33" t="s">
        <v>43</v>
      </c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8" t="s">
        <v>61</v>
      </c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</row>
  </sheetData>
  <mergeCells count="3">
    <mergeCell ref="C105:C107"/>
    <mergeCell ref="C108:C112"/>
    <mergeCell ref="A114:E11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0" width="9.13"/>
    <col customWidth="1" min="11" max="11" width="28.38"/>
    <col customWidth="1" min="12" max="12" width="18.25"/>
  </cols>
  <sheetData>
    <row r="1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" t="s">
        <v>62</v>
      </c>
      <c r="Q1" s="4">
        <v>1200.0</v>
      </c>
      <c r="R1" s="49"/>
      <c r="S1" s="49"/>
      <c r="T1" s="49"/>
      <c r="U1" s="49"/>
      <c r="V1" s="49"/>
      <c r="W1" s="49"/>
      <c r="X1" s="49"/>
      <c r="Y1" s="49"/>
      <c r="Z1" s="49"/>
      <c r="AA1" s="49"/>
    </row>
    <row r="2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</row>
    <row r="3">
      <c r="A3" s="49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</row>
    <row r="4">
      <c r="A4" s="50"/>
      <c r="E4" s="49"/>
      <c r="F4" s="51"/>
      <c r="G4" s="51"/>
      <c r="H4" s="51"/>
      <c r="I4" s="50"/>
      <c r="J4" s="50"/>
      <c r="K4" s="50"/>
      <c r="L4" s="50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</row>
    <row r="5">
      <c r="A5" s="50"/>
      <c r="B5" s="50"/>
      <c r="C5" s="50"/>
      <c r="D5" s="50"/>
      <c r="E5" s="49"/>
      <c r="F5" s="51"/>
      <c r="G5" s="51"/>
      <c r="H5" s="49"/>
      <c r="I5" s="50"/>
      <c r="J5" s="50"/>
      <c r="K5" s="50"/>
      <c r="L5" s="50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</row>
    <row r="6">
      <c r="A6" s="50"/>
      <c r="B6" s="50"/>
      <c r="C6" s="50"/>
      <c r="D6" s="50"/>
      <c r="E6" s="49"/>
      <c r="F6" s="22"/>
      <c r="G6" s="4"/>
      <c r="H6" s="49"/>
      <c r="I6" s="50"/>
      <c r="J6" s="50"/>
      <c r="K6" s="50"/>
      <c r="L6" s="50"/>
      <c r="M6" s="49"/>
      <c r="N6" s="49"/>
      <c r="O6" s="49"/>
      <c r="P6" s="51"/>
      <c r="Q6" s="51"/>
      <c r="R6" s="49"/>
      <c r="S6" s="49"/>
      <c r="T6" s="49"/>
      <c r="U6" s="49"/>
      <c r="V6" s="49"/>
      <c r="W6" s="49"/>
      <c r="X6" s="49"/>
      <c r="Y6" s="49"/>
      <c r="Z6" s="49"/>
      <c r="AA6" s="49"/>
    </row>
    <row r="7">
      <c r="A7" s="50"/>
      <c r="B7" s="50"/>
      <c r="C7" s="50"/>
      <c r="D7" s="50"/>
      <c r="E7" s="49"/>
      <c r="F7" s="22"/>
      <c r="G7" s="4"/>
      <c r="H7" s="49"/>
      <c r="I7" s="50"/>
      <c r="J7" s="50"/>
      <c r="K7" s="52" t="s">
        <v>63</v>
      </c>
      <c r="L7" s="53"/>
      <c r="M7" s="53"/>
      <c r="N7" s="54"/>
      <c r="O7" s="51" t="s">
        <v>64</v>
      </c>
      <c r="P7" s="51">
        <v>1100.0</v>
      </c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</row>
    <row r="8">
      <c r="A8" s="50"/>
      <c r="B8" s="50"/>
      <c r="C8" s="50"/>
      <c r="D8" s="50"/>
      <c r="E8" s="49"/>
      <c r="F8" s="22"/>
      <c r="G8" s="4"/>
      <c r="H8" s="49"/>
      <c r="I8" s="50"/>
      <c r="J8" s="22"/>
      <c r="K8" s="55" t="s">
        <v>65</v>
      </c>
      <c r="L8" s="55" t="s">
        <v>66</v>
      </c>
      <c r="M8" s="9" t="s">
        <v>67</v>
      </c>
      <c r="N8" s="9" t="s">
        <v>68</v>
      </c>
      <c r="O8" s="49"/>
      <c r="P8" s="51">
        <v>373.0</v>
      </c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</row>
    <row r="9">
      <c r="A9" s="50"/>
      <c r="B9" s="50"/>
      <c r="C9" s="50"/>
      <c r="D9" s="50"/>
      <c r="E9" s="49"/>
      <c r="F9" s="22"/>
      <c r="G9" s="56"/>
      <c r="H9" s="49"/>
      <c r="I9" s="50"/>
      <c r="J9" s="22"/>
      <c r="K9" s="57" t="s">
        <v>69</v>
      </c>
      <c r="L9" s="58">
        <v>4890.0</v>
      </c>
      <c r="M9" s="59"/>
      <c r="N9" s="5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</row>
    <row r="10">
      <c r="A10" s="50"/>
      <c r="B10" s="50"/>
      <c r="C10" s="50"/>
      <c r="D10" s="50"/>
      <c r="E10" s="49"/>
      <c r="F10" s="22"/>
      <c r="G10" s="56"/>
      <c r="H10" s="49"/>
      <c r="I10" s="50"/>
      <c r="J10" s="22"/>
      <c r="K10" s="60" t="s">
        <v>70</v>
      </c>
      <c r="L10" s="60">
        <v>2020.0</v>
      </c>
      <c r="M10" s="59">
        <v>31.0</v>
      </c>
      <c r="N10" s="59">
        <v>15.0</v>
      </c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  <c r="AA10" s="49"/>
    </row>
    <row r="11">
      <c r="A11" s="22"/>
      <c r="B11" s="61"/>
      <c r="C11" s="50"/>
      <c r="D11" s="50"/>
      <c r="E11" s="49"/>
      <c r="F11" s="22"/>
      <c r="G11" s="4"/>
      <c r="H11" s="49"/>
      <c r="I11" s="50"/>
      <c r="J11" s="22"/>
      <c r="K11" s="60" t="s">
        <v>71</v>
      </c>
      <c r="L11" s="60">
        <v>3500.0</v>
      </c>
      <c r="M11" s="59">
        <v>31.0</v>
      </c>
      <c r="N11" s="59">
        <v>15.0</v>
      </c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</row>
    <row r="12">
      <c r="A12" s="22"/>
      <c r="B12" s="61"/>
      <c r="C12" s="50"/>
      <c r="D12" s="62"/>
      <c r="E12" s="49"/>
      <c r="F12" s="62"/>
      <c r="G12" s="51"/>
      <c r="H12" s="49"/>
      <c r="I12" s="50"/>
      <c r="J12" s="50"/>
      <c r="K12" s="60" t="s">
        <v>72</v>
      </c>
      <c r="L12" s="57">
        <v>10094.0</v>
      </c>
      <c r="M12" s="59">
        <v>5.0</v>
      </c>
      <c r="N12" s="59">
        <v>29.0</v>
      </c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</row>
    <row r="13">
      <c r="A13" s="22"/>
      <c r="B13" s="61"/>
      <c r="C13" s="50"/>
      <c r="D13" s="50"/>
      <c r="E13" s="49"/>
      <c r="F13" s="49"/>
      <c r="G13" s="49"/>
      <c r="H13" s="49"/>
      <c r="I13" s="50"/>
      <c r="J13" s="50"/>
      <c r="K13" s="60" t="s">
        <v>73</v>
      </c>
      <c r="L13" s="57">
        <v>2086.0</v>
      </c>
      <c r="M13" s="60">
        <v>31.0</v>
      </c>
      <c r="N13" s="59">
        <v>22.0</v>
      </c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  <c r="AA13" s="49"/>
    </row>
    <row r="14">
      <c r="A14" s="22"/>
      <c r="B14" s="61"/>
      <c r="C14" s="50"/>
      <c r="D14" s="62"/>
      <c r="E14" s="49"/>
      <c r="F14" s="49"/>
      <c r="G14" s="49"/>
      <c r="H14" s="49"/>
      <c r="I14" s="50"/>
      <c r="J14" s="50"/>
      <c r="K14" s="63" t="s">
        <v>74</v>
      </c>
      <c r="L14" s="64">
        <v>1345.0</v>
      </c>
      <c r="M14" s="65">
        <v>31.0</v>
      </c>
      <c r="N14" s="65">
        <v>22.0</v>
      </c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</row>
    <row r="15">
      <c r="A15" s="22"/>
      <c r="B15" s="61"/>
      <c r="C15" s="62"/>
      <c r="D15" s="22"/>
      <c r="E15" s="49"/>
      <c r="F15" s="49"/>
      <c r="G15" s="49"/>
      <c r="H15" s="49"/>
      <c r="I15" s="50"/>
      <c r="J15" s="50"/>
      <c r="K15" s="60" t="s">
        <v>75</v>
      </c>
      <c r="L15" s="57">
        <v>300.0</v>
      </c>
      <c r="M15" s="59">
        <v>1.0</v>
      </c>
      <c r="N15" s="59">
        <v>30.0</v>
      </c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</row>
    <row r="16">
      <c r="A16" s="22"/>
      <c r="B16" s="61"/>
      <c r="C16" s="62"/>
      <c r="D16" s="22"/>
      <c r="E16" s="49"/>
      <c r="F16" s="49"/>
      <c r="G16" s="49"/>
      <c r="H16" s="49"/>
      <c r="I16" s="50"/>
      <c r="J16" s="50"/>
      <c r="K16" s="60" t="s">
        <v>76</v>
      </c>
      <c r="L16" s="60">
        <v>3000.0</v>
      </c>
      <c r="M16" s="59">
        <v>25.0</v>
      </c>
      <c r="N16" s="66">
        <v>45908.0</v>
      </c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/>
    </row>
    <row r="17">
      <c r="A17" s="22"/>
      <c r="B17" s="61"/>
      <c r="C17" s="62"/>
      <c r="D17" s="22"/>
      <c r="E17" s="49"/>
      <c r="F17" s="49"/>
      <c r="G17" s="49"/>
      <c r="H17" s="49"/>
      <c r="I17" s="50"/>
      <c r="J17" s="50"/>
      <c r="K17" s="59" t="s">
        <v>77</v>
      </c>
      <c r="L17" s="67">
        <v>3700.0</v>
      </c>
      <c r="M17" s="59"/>
      <c r="N17" s="5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</row>
    <row r="18">
      <c r="A18" s="22"/>
      <c r="B18" s="61"/>
      <c r="C18" s="62"/>
      <c r="D18" s="62"/>
      <c r="E18" s="49"/>
      <c r="F18" s="49"/>
      <c r="G18" s="49"/>
      <c r="H18" s="49"/>
      <c r="I18" s="49"/>
      <c r="J18" s="49"/>
      <c r="K18" s="59" t="s">
        <v>78</v>
      </c>
      <c r="L18" s="58">
        <v>7400.0</v>
      </c>
      <c r="M18" s="59"/>
      <c r="N18" s="5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</row>
    <row r="19">
      <c r="A19" s="68"/>
      <c r="B19" s="68"/>
      <c r="C19" s="68"/>
      <c r="D19" s="68"/>
      <c r="E19" s="49"/>
      <c r="F19" s="69" t="s">
        <v>79</v>
      </c>
      <c r="G19" s="53"/>
      <c r="H19" s="53"/>
      <c r="I19" s="54"/>
      <c r="J19" s="49"/>
      <c r="K19" s="59" t="s">
        <v>80</v>
      </c>
      <c r="L19" s="67">
        <v>3700.0</v>
      </c>
      <c r="M19" s="59"/>
      <c r="N19" s="5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</row>
    <row r="20">
      <c r="A20" s="68"/>
      <c r="B20" s="68"/>
      <c r="C20" s="68"/>
      <c r="D20" s="68"/>
      <c r="E20" s="49"/>
      <c r="F20" s="70" t="s">
        <v>81</v>
      </c>
      <c r="G20" s="71">
        <v>46024.0</v>
      </c>
      <c r="H20" s="57">
        <v>18.0</v>
      </c>
      <c r="I20" s="57">
        <v>6300.0</v>
      </c>
      <c r="J20" s="49"/>
      <c r="K20" s="72" t="s">
        <v>82</v>
      </c>
      <c r="L20" s="67">
        <v>2200.0</v>
      </c>
      <c r="M20" s="73"/>
      <c r="N20" s="54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</row>
    <row r="21">
      <c r="A21" s="68"/>
      <c r="B21" s="68"/>
      <c r="C21" s="68"/>
      <c r="D21" s="68"/>
      <c r="E21" s="49"/>
      <c r="F21" s="74" t="s">
        <v>83</v>
      </c>
      <c r="G21" s="71">
        <v>46027.0</v>
      </c>
      <c r="H21" s="57">
        <v>6.0</v>
      </c>
      <c r="I21" s="57">
        <v>1746.0</v>
      </c>
      <c r="J21" s="49"/>
      <c r="K21" s="51" t="s">
        <v>84</v>
      </c>
      <c r="L21" s="51">
        <v>161.0</v>
      </c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</row>
    <row r="22">
      <c r="A22" s="68"/>
      <c r="B22" s="68"/>
      <c r="C22" s="68"/>
      <c r="D22" s="68"/>
      <c r="E22" s="49"/>
      <c r="F22" s="74" t="s">
        <v>83</v>
      </c>
      <c r="G22" s="71">
        <v>46034.0</v>
      </c>
      <c r="H22" s="57">
        <v>12.0</v>
      </c>
      <c r="I22" s="57">
        <v>3600.0</v>
      </c>
      <c r="J22" s="49"/>
      <c r="K22" s="49"/>
      <c r="L22" s="75">
        <f>SUM(L8:L21)</f>
        <v>44396</v>
      </c>
      <c r="M22" s="51">
        <v>16099.0</v>
      </c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</row>
    <row r="23">
      <c r="A23" s="68"/>
      <c r="B23" s="68"/>
      <c r="C23" s="68"/>
      <c r="D23" s="68"/>
      <c r="E23" s="49"/>
      <c r="F23" s="74" t="s">
        <v>83</v>
      </c>
      <c r="G23" s="71">
        <v>46041.0</v>
      </c>
      <c r="H23" s="57">
        <v>7.0</v>
      </c>
      <c r="I23" s="57">
        <v>2100.0</v>
      </c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</row>
    <row r="24">
      <c r="A24" s="68"/>
      <c r="B24" s="68"/>
      <c r="C24" s="68"/>
      <c r="D24" s="68"/>
      <c r="E24" s="49"/>
      <c r="F24" s="74" t="s">
        <v>83</v>
      </c>
      <c r="G24" s="71">
        <v>46048.0</v>
      </c>
      <c r="H24" s="57">
        <v>10.0</v>
      </c>
      <c r="I24" s="57">
        <v>3000.0</v>
      </c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</row>
    <row r="25">
      <c r="A25" s="68"/>
      <c r="B25" s="68"/>
      <c r="C25" s="68"/>
      <c r="D25" s="68"/>
      <c r="E25" s="49"/>
      <c r="F25" s="74" t="s">
        <v>83</v>
      </c>
      <c r="G25" s="71">
        <v>46055.0</v>
      </c>
      <c r="H25" s="57" t="s">
        <v>85</v>
      </c>
      <c r="I25" s="57">
        <v>7200.0</v>
      </c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</row>
    <row r="26">
      <c r="A26" s="68"/>
      <c r="B26" s="68"/>
      <c r="C26" s="68"/>
      <c r="D26" s="68"/>
      <c r="E26" s="49"/>
      <c r="F26" s="76" t="s">
        <v>86</v>
      </c>
      <c r="G26" s="77">
        <v>46055.0</v>
      </c>
      <c r="H26" s="78">
        <v>5771.16</v>
      </c>
      <c r="I26" s="78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</row>
    <row r="27">
      <c r="A27" s="68"/>
      <c r="B27" s="68"/>
      <c r="C27" s="68"/>
      <c r="D27" s="68"/>
      <c r="E27" s="49"/>
      <c r="F27" s="76" t="s">
        <v>86</v>
      </c>
      <c r="G27" s="79"/>
      <c r="H27" s="78">
        <v>6550.0</v>
      </c>
      <c r="I27" s="78" t="s">
        <v>87</v>
      </c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</row>
    <row r="28">
      <c r="A28" s="68"/>
      <c r="B28" s="68"/>
      <c r="C28" s="68"/>
      <c r="D28" s="68"/>
      <c r="E28" s="49"/>
      <c r="F28" s="80" t="s">
        <v>88</v>
      </c>
      <c r="G28" s="71">
        <v>46055.0</v>
      </c>
      <c r="H28" s="57">
        <v>67.0</v>
      </c>
      <c r="I28" s="57">
        <v>13000.0</v>
      </c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</row>
    <row r="29">
      <c r="A29" s="68"/>
      <c r="B29" s="68"/>
      <c r="C29" s="68"/>
      <c r="D29" s="68"/>
      <c r="E29" s="49"/>
      <c r="F29" s="81" t="s">
        <v>89</v>
      </c>
      <c r="G29" s="71">
        <v>46059.0</v>
      </c>
      <c r="H29" s="59"/>
      <c r="I29" s="58">
        <v>34454.0</v>
      </c>
      <c r="J29" s="51"/>
      <c r="K29" s="62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</row>
    <row r="30">
      <c r="A30" s="68"/>
      <c r="B30" s="68"/>
      <c r="C30" s="68"/>
      <c r="D30" s="68"/>
      <c r="E30" s="49"/>
      <c r="F30" s="82" t="s">
        <v>88</v>
      </c>
      <c r="G30" s="71">
        <v>46055.0</v>
      </c>
      <c r="H30" s="57">
        <v>12.0</v>
      </c>
      <c r="I30" s="57">
        <v>2400.0</v>
      </c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</row>
    <row r="31">
      <c r="A31" s="68"/>
      <c r="B31" s="68"/>
      <c r="C31" s="68"/>
      <c r="D31" s="68"/>
      <c r="E31" s="49"/>
      <c r="F31" s="9"/>
      <c r="G31" s="83"/>
      <c r="H31" s="83"/>
      <c r="I31" s="83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</row>
    <row r="32">
      <c r="A32" s="68"/>
      <c r="B32" s="68"/>
      <c r="C32" s="68"/>
      <c r="D32" s="68"/>
      <c r="E32" s="49"/>
      <c r="F32" s="9"/>
      <c r="G32" s="9"/>
      <c r="H32" s="9"/>
      <c r="I32" s="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</row>
    <row r="33">
      <c r="A33" s="68"/>
      <c r="B33" s="68"/>
      <c r="C33" s="68"/>
      <c r="D33" s="68"/>
      <c r="E33" s="49"/>
      <c r="F33" s="9"/>
      <c r="G33" s="9"/>
      <c r="H33" s="9"/>
      <c r="I33" s="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</row>
    <row r="34">
      <c r="A34" s="68"/>
      <c r="B34" s="68"/>
      <c r="C34" s="68"/>
      <c r="D34" s="68"/>
      <c r="E34" s="49"/>
      <c r="F34" s="9"/>
      <c r="G34" s="9"/>
      <c r="H34" s="9"/>
      <c r="I34" s="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</row>
    <row r="35">
      <c r="A35" s="68"/>
      <c r="B35" s="68"/>
      <c r="C35" s="68"/>
      <c r="D35" s="68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</row>
    <row r="36">
      <c r="A36" s="49"/>
      <c r="B36" s="49"/>
      <c r="C36" s="49"/>
      <c r="D36" s="49"/>
      <c r="E36" s="49"/>
      <c r="F36" s="49"/>
      <c r="G36" s="49"/>
      <c r="H36" s="49"/>
      <c r="I36" s="49">
        <f>SUM(I20:I29)</f>
        <v>71400</v>
      </c>
      <c r="J36" s="49">
        <f>SUM(J6:J14)</f>
        <v>0</v>
      </c>
      <c r="K36" s="84">
        <v>48960.0</v>
      </c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</row>
    <row r="37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</row>
    <row r="38">
      <c r="A38" s="49"/>
      <c r="B38" s="49"/>
      <c r="C38" s="49"/>
      <c r="D38" s="49"/>
      <c r="E38" s="49"/>
      <c r="F38" s="85" t="s">
        <v>90</v>
      </c>
      <c r="G38" s="85" t="s">
        <v>91</v>
      </c>
      <c r="H38" s="85" t="s">
        <v>92</v>
      </c>
      <c r="I38" s="85" t="s">
        <v>93</v>
      </c>
      <c r="J38" s="85" t="s">
        <v>94</v>
      </c>
      <c r="K38" s="85" t="s">
        <v>95</v>
      </c>
      <c r="L38" s="85" t="s">
        <v>96</v>
      </c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</row>
    <row r="39">
      <c r="A39" s="49"/>
      <c r="B39" s="85" t="s">
        <v>97</v>
      </c>
      <c r="C39" s="49"/>
      <c r="D39" s="49"/>
      <c r="E39" s="86">
        <v>1.0</v>
      </c>
      <c r="F39" s="87">
        <v>46028.0</v>
      </c>
      <c r="G39" s="88" t="s">
        <v>98</v>
      </c>
      <c r="H39" s="88" t="s">
        <v>99</v>
      </c>
      <c r="I39" s="88">
        <v>2.0</v>
      </c>
      <c r="J39" s="89">
        <v>5672.86</v>
      </c>
      <c r="K39" s="90">
        <v>567.0</v>
      </c>
      <c r="L39" s="91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</row>
    <row r="40">
      <c r="A40" s="49"/>
      <c r="B40" s="92" t="s">
        <v>100</v>
      </c>
      <c r="C40" s="49"/>
      <c r="D40" s="49"/>
      <c r="E40" s="86">
        <v>2.0</v>
      </c>
      <c r="F40" s="87">
        <v>46030.0</v>
      </c>
      <c r="G40" s="88" t="s">
        <v>98</v>
      </c>
      <c r="H40" s="88" t="s">
        <v>99</v>
      </c>
      <c r="I40" s="88">
        <v>2.0</v>
      </c>
      <c r="J40" s="93">
        <v>1813.9</v>
      </c>
      <c r="K40" s="90">
        <v>0.0</v>
      </c>
      <c r="L40" s="91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</row>
    <row r="41">
      <c r="A41" s="49"/>
      <c r="B41" s="85" t="s">
        <v>101</v>
      </c>
      <c r="C41" s="49"/>
      <c r="D41" s="49"/>
      <c r="E41" s="86">
        <v>3.0</v>
      </c>
      <c r="F41" s="87">
        <v>46031.0</v>
      </c>
      <c r="G41" s="88" t="s">
        <v>98</v>
      </c>
      <c r="H41" s="88" t="s">
        <v>99</v>
      </c>
      <c r="I41" s="88">
        <v>2.0</v>
      </c>
      <c r="J41" s="93">
        <v>4645.5</v>
      </c>
      <c r="K41" s="90">
        <v>464.0</v>
      </c>
      <c r="L41" s="91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</row>
    <row r="42">
      <c r="A42" s="49"/>
      <c r="B42" s="49"/>
      <c r="C42" s="49"/>
      <c r="D42" s="49"/>
      <c r="E42" s="86">
        <v>4.0</v>
      </c>
      <c r="F42" s="87">
        <v>46034.0</v>
      </c>
      <c r="G42" s="88" t="s">
        <v>98</v>
      </c>
      <c r="H42" s="88" t="s">
        <v>99</v>
      </c>
      <c r="I42" s="88">
        <v>2.0</v>
      </c>
      <c r="J42" s="90">
        <v>356.15</v>
      </c>
      <c r="K42" s="90">
        <v>0.0</v>
      </c>
      <c r="L42" s="91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</row>
    <row r="43">
      <c r="A43" s="49"/>
      <c r="B43" s="49"/>
      <c r="C43" s="49"/>
      <c r="D43" s="49"/>
      <c r="E43" s="86">
        <v>5.0</v>
      </c>
      <c r="F43" s="87">
        <v>46034.0</v>
      </c>
      <c r="G43" s="88" t="s">
        <v>98</v>
      </c>
      <c r="H43" s="90" t="s">
        <v>102</v>
      </c>
      <c r="I43" s="88">
        <v>2.0</v>
      </c>
      <c r="J43" s="89">
        <v>7949.17</v>
      </c>
      <c r="K43" s="90">
        <v>794.0</v>
      </c>
      <c r="L43" s="91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</row>
    <row r="44">
      <c r="A44" s="49"/>
      <c r="B44" s="49"/>
      <c r="C44" s="49"/>
      <c r="D44" s="49"/>
      <c r="E44" s="86">
        <v>6.0</v>
      </c>
      <c r="F44" s="87">
        <v>46035.0</v>
      </c>
      <c r="G44" s="88" t="s">
        <v>98</v>
      </c>
      <c r="H44" s="90" t="s">
        <v>103</v>
      </c>
      <c r="I44" s="88">
        <v>1.0</v>
      </c>
      <c r="J44" s="89">
        <v>5246.99</v>
      </c>
      <c r="K44" s="90">
        <v>524.0</v>
      </c>
      <c r="L44" s="90" t="s">
        <v>104</v>
      </c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</row>
    <row r="45">
      <c r="A45" s="49"/>
      <c r="B45" s="49"/>
      <c r="C45" s="49"/>
      <c r="D45" s="49"/>
      <c r="E45" s="86">
        <v>7.0</v>
      </c>
      <c r="F45" s="87">
        <v>46037.0</v>
      </c>
      <c r="G45" s="88" t="s">
        <v>98</v>
      </c>
      <c r="H45" s="88" t="s">
        <v>105</v>
      </c>
      <c r="I45" s="88">
        <v>2.0</v>
      </c>
      <c r="J45" s="89">
        <v>11800.31</v>
      </c>
      <c r="K45" s="90">
        <v>1180.0</v>
      </c>
      <c r="L45" s="91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</row>
    <row r="46">
      <c r="A46" s="49"/>
      <c r="B46" s="49"/>
      <c r="C46" s="49"/>
      <c r="D46" s="49"/>
      <c r="E46" s="86">
        <v>8.0</v>
      </c>
      <c r="F46" s="87">
        <v>46038.0</v>
      </c>
      <c r="G46" s="88" t="s">
        <v>98</v>
      </c>
      <c r="H46" s="88" t="s">
        <v>105</v>
      </c>
      <c r="I46" s="88">
        <v>2.0</v>
      </c>
      <c r="J46" s="89">
        <v>7447.0</v>
      </c>
      <c r="K46" s="90">
        <v>744.0</v>
      </c>
      <c r="L46" s="91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</row>
    <row r="47">
      <c r="A47" s="49"/>
      <c r="B47" s="49"/>
      <c r="C47" s="49"/>
      <c r="D47" s="49"/>
      <c r="E47" s="86">
        <v>9.0</v>
      </c>
      <c r="F47" s="87">
        <v>46039.0</v>
      </c>
      <c r="G47" s="88" t="s">
        <v>98</v>
      </c>
      <c r="H47" s="88" t="s">
        <v>105</v>
      </c>
      <c r="I47" s="88">
        <v>2.0</v>
      </c>
      <c r="J47" s="89">
        <v>5074.0</v>
      </c>
      <c r="K47" s="90">
        <v>507.0</v>
      </c>
      <c r="L47" s="91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</row>
    <row r="48">
      <c r="A48" s="49"/>
      <c r="B48" s="49"/>
      <c r="C48" s="49"/>
      <c r="D48" s="49"/>
      <c r="E48" s="86">
        <v>10.0</v>
      </c>
      <c r="F48" s="87">
        <v>46041.0</v>
      </c>
      <c r="G48" s="88" t="s">
        <v>98</v>
      </c>
      <c r="H48" s="88" t="s">
        <v>105</v>
      </c>
      <c r="I48" s="88">
        <v>2.0</v>
      </c>
      <c r="J48" s="89">
        <v>16835.0</v>
      </c>
      <c r="K48" s="90">
        <v>1683.0</v>
      </c>
      <c r="L48" s="91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</row>
    <row r="49">
      <c r="A49" s="49"/>
      <c r="B49" s="49"/>
      <c r="C49" s="49"/>
      <c r="D49" s="49"/>
      <c r="E49" s="86">
        <v>11.0</v>
      </c>
      <c r="F49" s="87">
        <v>46042.0</v>
      </c>
      <c r="G49" s="88" t="s">
        <v>98</v>
      </c>
      <c r="H49" s="88" t="s">
        <v>105</v>
      </c>
      <c r="I49" s="88">
        <v>2.0</v>
      </c>
      <c r="J49" s="89">
        <v>5471.0</v>
      </c>
      <c r="K49" s="90">
        <v>547.0</v>
      </c>
      <c r="L49" s="91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</row>
    <row r="50">
      <c r="A50" s="49"/>
      <c r="B50" s="49"/>
      <c r="C50" s="49"/>
      <c r="D50" s="49"/>
      <c r="E50" s="86">
        <v>12.0</v>
      </c>
      <c r="F50" s="87">
        <v>46043.0</v>
      </c>
      <c r="G50" s="88" t="s">
        <v>98</v>
      </c>
      <c r="H50" s="88" t="s">
        <v>105</v>
      </c>
      <c r="I50" s="88">
        <v>2.0</v>
      </c>
      <c r="J50" s="89">
        <v>12470.87</v>
      </c>
      <c r="K50" s="90">
        <v>1247.0</v>
      </c>
      <c r="L50" s="91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</row>
    <row r="51">
      <c r="A51" s="49"/>
      <c r="B51" s="49"/>
      <c r="C51" s="49"/>
      <c r="D51" s="49"/>
      <c r="E51" s="86">
        <v>13.0</v>
      </c>
      <c r="F51" s="87">
        <v>46044.0</v>
      </c>
      <c r="G51" s="88" t="s">
        <v>98</v>
      </c>
      <c r="H51" s="88" t="s">
        <v>105</v>
      </c>
      <c r="I51" s="88">
        <v>2.0</v>
      </c>
      <c r="J51" s="93">
        <v>3752.0</v>
      </c>
      <c r="K51" s="90">
        <v>375.0</v>
      </c>
      <c r="L51" s="91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</row>
    <row r="52">
      <c r="A52" s="49"/>
      <c r="B52" s="49"/>
      <c r="C52" s="49"/>
      <c r="D52" s="49"/>
      <c r="E52" s="86">
        <v>14.0</v>
      </c>
      <c r="F52" s="87">
        <v>46048.0</v>
      </c>
      <c r="G52" s="88" t="s">
        <v>98</v>
      </c>
      <c r="H52" s="88" t="s">
        <v>105</v>
      </c>
      <c r="I52" s="88">
        <v>2.0</v>
      </c>
      <c r="J52" s="90">
        <v>0.0</v>
      </c>
      <c r="K52" s="90">
        <v>0.0</v>
      </c>
      <c r="L52" s="91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</row>
    <row r="53">
      <c r="A53" s="49"/>
      <c r="B53" s="49"/>
      <c r="C53" s="49"/>
      <c r="D53" s="49"/>
      <c r="E53" s="86">
        <v>15.0</v>
      </c>
      <c r="F53" s="87">
        <v>46048.0</v>
      </c>
      <c r="G53" s="88" t="s">
        <v>98</v>
      </c>
      <c r="H53" s="88" t="s">
        <v>106</v>
      </c>
      <c r="I53" s="88">
        <v>2.0</v>
      </c>
      <c r="J53" s="89">
        <v>6333.39</v>
      </c>
      <c r="K53" s="90">
        <v>633.0</v>
      </c>
      <c r="L53" s="91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</row>
    <row r="54">
      <c r="A54" s="49"/>
      <c r="B54" s="49"/>
      <c r="C54" s="49"/>
      <c r="D54" s="49"/>
      <c r="E54" s="86">
        <v>16.0</v>
      </c>
      <c r="F54" s="87">
        <v>46049.0</v>
      </c>
      <c r="G54" s="88" t="s">
        <v>98</v>
      </c>
      <c r="H54" s="88" t="s">
        <v>105</v>
      </c>
      <c r="I54" s="88">
        <v>2.0</v>
      </c>
      <c r="J54" s="89">
        <v>7459.0</v>
      </c>
      <c r="K54" s="90">
        <v>745.0</v>
      </c>
      <c r="L54" s="91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</row>
    <row r="55">
      <c r="A55" s="49"/>
      <c r="B55" s="49"/>
      <c r="C55" s="49"/>
      <c r="D55" s="49"/>
      <c r="E55" s="94">
        <v>17.0</v>
      </c>
      <c r="F55" s="95">
        <v>46050.0</v>
      </c>
      <c r="G55" s="88" t="s">
        <v>98</v>
      </c>
      <c r="H55" s="88" t="s">
        <v>107</v>
      </c>
      <c r="I55" s="96">
        <v>3.5</v>
      </c>
      <c r="J55" s="97">
        <v>18287.5</v>
      </c>
      <c r="K55" s="96">
        <v>1828.0</v>
      </c>
      <c r="L55" s="91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</row>
    <row r="56">
      <c r="A56" s="49"/>
      <c r="B56" s="49"/>
      <c r="C56" s="49"/>
      <c r="D56" s="49"/>
      <c r="E56" s="98"/>
      <c r="F56" s="98"/>
      <c r="G56" s="88" t="s">
        <v>98</v>
      </c>
      <c r="H56" s="88" t="s">
        <v>105</v>
      </c>
      <c r="I56" s="98"/>
      <c r="J56" s="98"/>
      <c r="K56" s="98"/>
      <c r="L56" s="91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</row>
    <row r="57">
      <c r="A57" s="49"/>
      <c r="B57" s="49"/>
      <c r="C57" s="49"/>
      <c r="D57" s="49"/>
      <c r="E57" s="94">
        <v>18.0</v>
      </c>
      <c r="F57" s="95">
        <v>46052.0</v>
      </c>
      <c r="G57" s="88" t="s">
        <v>98</v>
      </c>
      <c r="H57" s="88" t="s">
        <v>97</v>
      </c>
      <c r="I57" s="96">
        <v>4.0</v>
      </c>
      <c r="J57" s="97">
        <v>17183.0</v>
      </c>
      <c r="K57" s="96">
        <v>1718.0</v>
      </c>
      <c r="L57" s="91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</row>
    <row r="58">
      <c r="A58" s="49"/>
      <c r="B58" s="49"/>
      <c r="C58" s="49"/>
      <c r="D58" s="49"/>
      <c r="E58" s="98"/>
      <c r="F58" s="98"/>
      <c r="G58" s="88" t="s">
        <v>98</v>
      </c>
      <c r="H58" s="88" t="s">
        <v>105</v>
      </c>
      <c r="I58" s="98"/>
      <c r="J58" s="98"/>
      <c r="K58" s="98"/>
      <c r="L58" s="91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</row>
    <row r="59">
      <c r="A59" s="49"/>
      <c r="B59" s="49"/>
      <c r="C59" s="49"/>
      <c r="D59" s="49"/>
      <c r="E59" s="99">
        <v>19.0</v>
      </c>
      <c r="F59" s="95">
        <v>46053.0</v>
      </c>
      <c r="G59" s="88" t="s">
        <v>98</v>
      </c>
      <c r="H59" s="88" t="s">
        <v>97</v>
      </c>
      <c r="I59" s="96">
        <v>4.0</v>
      </c>
      <c r="J59" s="100">
        <v>18204.0</v>
      </c>
      <c r="K59" s="96">
        <v>1820.0</v>
      </c>
      <c r="L59" s="90" t="s">
        <v>108</v>
      </c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</row>
    <row r="60">
      <c r="A60" s="49"/>
      <c r="B60" s="49"/>
      <c r="C60" s="49"/>
      <c r="D60" s="49"/>
      <c r="E60" s="98"/>
      <c r="F60" s="98"/>
      <c r="G60" s="88" t="s">
        <v>98</v>
      </c>
      <c r="H60" s="88" t="s">
        <v>105</v>
      </c>
      <c r="I60" s="98"/>
      <c r="J60" s="98"/>
      <c r="K60" s="98"/>
      <c r="L60" s="90" t="s">
        <v>109</v>
      </c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</row>
    <row r="61">
      <c r="A61" s="49"/>
      <c r="B61" s="49"/>
      <c r="C61" s="49"/>
      <c r="D61" s="4"/>
      <c r="E61" s="101"/>
      <c r="F61" s="49"/>
      <c r="G61" s="49"/>
      <c r="H61" s="49"/>
      <c r="I61" s="101"/>
      <c r="J61" s="49"/>
      <c r="K61" s="101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</row>
    <row r="62">
      <c r="A62" s="49"/>
      <c r="B62" s="49"/>
      <c r="C62" s="49"/>
      <c r="D62" s="4"/>
      <c r="F62" s="49"/>
      <c r="G62" s="49"/>
      <c r="H62" s="49"/>
      <c r="I62" s="101"/>
      <c r="J62" s="49"/>
      <c r="K62" s="101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</row>
    <row r="63">
      <c r="A63" s="49"/>
      <c r="B63" s="49"/>
      <c r="C63" s="49"/>
      <c r="D63" s="4"/>
      <c r="E63" s="50"/>
      <c r="F63" s="85" t="s">
        <v>90</v>
      </c>
      <c r="G63" s="85" t="s">
        <v>91</v>
      </c>
      <c r="H63" s="85" t="s">
        <v>92</v>
      </c>
      <c r="I63" s="85" t="s">
        <v>93</v>
      </c>
      <c r="J63" s="85" t="s">
        <v>94</v>
      </c>
      <c r="K63" s="85" t="s">
        <v>95</v>
      </c>
      <c r="L63" s="85" t="s">
        <v>96</v>
      </c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</row>
    <row r="64">
      <c r="A64" s="49"/>
      <c r="B64" s="49"/>
      <c r="C64" s="49"/>
      <c r="D64" s="4"/>
      <c r="E64" s="102">
        <v>1.0</v>
      </c>
      <c r="F64" s="87">
        <v>46028.0</v>
      </c>
      <c r="G64" s="103" t="s">
        <v>110</v>
      </c>
      <c r="H64" s="88" t="s">
        <v>101</v>
      </c>
      <c r="I64" s="88">
        <v>1.5</v>
      </c>
      <c r="J64" s="90">
        <v>1797.0</v>
      </c>
      <c r="K64" s="90">
        <v>0.0</v>
      </c>
      <c r="L64" s="91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</row>
    <row r="65">
      <c r="A65" s="49"/>
      <c r="B65" s="49"/>
      <c r="C65" s="49"/>
      <c r="D65" s="4"/>
      <c r="E65" s="102">
        <v>2.0</v>
      </c>
      <c r="F65" s="87">
        <v>46030.0</v>
      </c>
      <c r="G65" s="103" t="s">
        <v>110</v>
      </c>
      <c r="H65" s="88" t="s">
        <v>101</v>
      </c>
      <c r="I65" s="88">
        <v>2.0</v>
      </c>
      <c r="J65" s="90">
        <v>2688.0</v>
      </c>
      <c r="K65" s="90">
        <v>0.0</v>
      </c>
      <c r="L65" s="91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</row>
    <row r="66">
      <c r="A66" s="49"/>
      <c r="B66" s="49"/>
      <c r="C66" s="49"/>
      <c r="D66" s="4"/>
      <c r="E66" s="102">
        <v>3.0</v>
      </c>
      <c r="F66" s="87">
        <v>46031.0</v>
      </c>
      <c r="G66" s="103" t="s">
        <v>110</v>
      </c>
      <c r="H66" s="88" t="s">
        <v>101</v>
      </c>
      <c r="I66" s="88">
        <v>1.5</v>
      </c>
      <c r="J66" s="90">
        <v>5158.0</v>
      </c>
      <c r="K66" s="90">
        <v>515.0</v>
      </c>
      <c r="L66" s="91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</row>
    <row r="67">
      <c r="A67" s="49"/>
      <c r="B67" s="49"/>
      <c r="C67" s="49"/>
      <c r="D67" s="4"/>
      <c r="E67" s="102">
        <v>4.0</v>
      </c>
      <c r="F67" s="87">
        <v>46032.0</v>
      </c>
      <c r="G67" s="103" t="s">
        <v>110</v>
      </c>
      <c r="H67" s="88" t="s">
        <v>105</v>
      </c>
      <c r="I67" s="88">
        <v>2.0</v>
      </c>
      <c r="J67" s="90">
        <v>0.0</v>
      </c>
      <c r="K67" s="90">
        <v>0.0</v>
      </c>
      <c r="L67" s="91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</row>
    <row r="68">
      <c r="A68" s="49"/>
      <c r="B68" s="49"/>
      <c r="C68" s="49"/>
      <c r="D68" s="4"/>
      <c r="E68" s="102">
        <v>5.0</v>
      </c>
      <c r="F68" s="87">
        <v>46037.0</v>
      </c>
      <c r="G68" s="103" t="s">
        <v>110</v>
      </c>
      <c r="H68" s="88" t="s">
        <v>101</v>
      </c>
      <c r="I68" s="88">
        <v>2.0</v>
      </c>
      <c r="J68" s="90">
        <v>0.0</v>
      </c>
      <c r="K68" s="90">
        <v>0.0</v>
      </c>
      <c r="L68" s="91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</row>
    <row r="69">
      <c r="A69" s="49"/>
      <c r="B69" s="49"/>
      <c r="C69" s="49"/>
      <c r="D69" s="4"/>
      <c r="E69" s="102">
        <v>6.0</v>
      </c>
      <c r="F69" s="87">
        <v>46041.0</v>
      </c>
      <c r="G69" s="103" t="s">
        <v>110</v>
      </c>
      <c r="H69" s="88" t="s">
        <v>101</v>
      </c>
      <c r="I69" s="88">
        <v>2.0</v>
      </c>
      <c r="J69" s="93">
        <v>5027.0</v>
      </c>
      <c r="K69" s="90">
        <v>502.0</v>
      </c>
      <c r="L69" s="91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</row>
    <row r="70">
      <c r="A70" s="49"/>
      <c r="B70" s="49"/>
      <c r="C70" s="49"/>
      <c r="D70" s="4"/>
      <c r="E70" s="102">
        <v>7.0</v>
      </c>
      <c r="F70" s="87">
        <v>46042.0</v>
      </c>
      <c r="G70" s="103" t="s">
        <v>110</v>
      </c>
      <c r="H70" s="90" t="s">
        <v>111</v>
      </c>
      <c r="I70" s="88">
        <v>1.0</v>
      </c>
      <c r="J70" s="90">
        <v>2200.0</v>
      </c>
      <c r="K70" s="90">
        <v>0.0</v>
      </c>
      <c r="L70" s="90" t="s">
        <v>112</v>
      </c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</row>
    <row r="71">
      <c r="A71" s="49"/>
      <c r="B71" s="49"/>
      <c r="C71" s="49"/>
      <c r="D71" s="4"/>
      <c r="E71" s="102">
        <v>8.0</v>
      </c>
      <c r="F71" s="87">
        <v>46043.0</v>
      </c>
      <c r="G71" s="103" t="s">
        <v>110</v>
      </c>
      <c r="H71" s="88" t="s">
        <v>101</v>
      </c>
      <c r="I71" s="88">
        <v>2.0</v>
      </c>
      <c r="J71" s="93">
        <v>12876.0</v>
      </c>
      <c r="K71" s="90">
        <v>1287.0</v>
      </c>
      <c r="L71" s="91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</row>
    <row r="72">
      <c r="A72" s="49"/>
      <c r="B72" s="49"/>
      <c r="C72" s="49"/>
      <c r="D72" s="4"/>
      <c r="E72" s="102">
        <v>9.0</v>
      </c>
      <c r="F72" s="87">
        <v>46048.0</v>
      </c>
      <c r="G72" s="103" t="s">
        <v>110</v>
      </c>
      <c r="H72" s="88" t="s">
        <v>101</v>
      </c>
      <c r="I72" s="88">
        <v>2.0</v>
      </c>
      <c r="J72" s="93">
        <v>9161.0</v>
      </c>
      <c r="K72" s="90">
        <v>916.0</v>
      </c>
      <c r="L72" s="91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</row>
    <row r="73">
      <c r="A73" s="49"/>
      <c r="B73" s="49"/>
      <c r="C73" s="49"/>
      <c r="D73" s="4"/>
      <c r="E73" s="102">
        <v>10.0</v>
      </c>
      <c r="F73" s="87">
        <v>46049.0</v>
      </c>
      <c r="G73" s="103" t="s">
        <v>110</v>
      </c>
      <c r="H73" s="88" t="s">
        <v>101</v>
      </c>
      <c r="I73" s="88">
        <v>2.0</v>
      </c>
      <c r="J73" s="93">
        <v>6548.0</v>
      </c>
      <c r="K73" s="90">
        <v>654.0</v>
      </c>
      <c r="L73" s="91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</row>
    <row r="74">
      <c r="A74" s="49"/>
      <c r="B74" s="49"/>
      <c r="C74" s="49"/>
      <c r="D74" s="4"/>
      <c r="E74" s="102">
        <v>11.0</v>
      </c>
      <c r="F74" s="87">
        <v>46050.0</v>
      </c>
      <c r="G74" s="103" t="s">
        <v>110</v>
      </c>
      <c r="H74" s="88" t="s">
        <v>101</v>
      </c>
      <c r="I74" s="88">
        <v>2.0</v>
      </c>
      <c r="J74" s="93">
        <v>4499.0</v>
      </c>
      <c r="K74" s="90">
        <v>449.0</v>
      </c>
      <c r="L74" s="91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</row>
    <row r="75">
      <c r="A75" s="49"/>
      <c r="B75" s="49"/>
      <c r="C75" s="49"/>
      <c r="D75" s="4"/>
      <c r="E75" s="102">
        <v>12.0</v>
      </c>
      <c r="F75" s="104">
        <v>46052.0</v>
      </c>
      <c r="G75" s="105" t="s">
        <v>110</v>
      </c>
      <c r="H75" s="106" t="s">
        <v>113</v>
      </c>
      <c r="I75" s="88">
        <v>2.5</v>
      </c>
      <c r="J75" s="93">
        <v>8992.0</v>
      </c>
      <c r="K75" s="90">
        <v>899.0</v>
      </c>
      <c r="L75" s="90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</row>
    <row r="76">
      <c r="A76" s="49"/>
      <c r="B76" s="84">
        <v>13000.0</v>
      </c>
      <c r="C76" s="51">
        <v>16.6</v>
      </c>
      <c r="D76" s="4"/>
      <c r="E76" s="101"/>
      <c r="F76" s="49"/>
      <c r="G76" s="49"/>
      <c r="H76" s="49"/>
      <c r="I76" s="101"/>
      <c r="J76" s="49"/>
      <c r="K76" s="101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</row>
    <row r="77">
      <c r="A77" s="49"/>
      <c r="B77" s="49"/>
      <c r="C77" s="49"/>
      <c r="D77" s="101"/>
      <c r="F77" s="49"/>
      <c r="G77" s="49"/>
      <c r="H77" s="49"/>
      <c r="I77" s="101"/>
      <c r="J77" s="49"/>
      <c r="K77" s="101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</row>
    <row r="78">
      <c r="A78" s="49"/>
      <c r="B78" s="49"/>
      <c r="C78" s="49"/>
      <c r="D78" s="4"/>
      <c r="E78" s="101"/>
      <c r="F78" s="49"/>
      <c r="G78" s="49"/>
      <c r="H78" s="49"/>
      <c r="I78" s="101">
        <f t="shared" ref="I78:K78" si="1">SUM(I39:I75)</f>
        <v>65</v>
      </c>
      <c r="J78" s="107">
        <f t="shared" si="1"/>
        <v>214947.64</v>
      </c>
      <c r="K78" s="101">
        <f t="shared" si="1"/>
        <v>20598</v>
      </c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  <c r="AA78" s="49"/>
    </row>
    <row r="79">
      <c r="A79" s="49"/>
      <c r="B79" s="49"/>
      <c r="C79" s="49"/>
      <c r="D79" s="4"/>
      <c r="E79" s="101"/>
      <c r="F79" s="49"/>
      <c r="G79" s="49"/>
      <c r="H79" s="49"/>
      <c r="I79" s="101"/>
      <c r="J79" s="49"/>
      <c r="K79" s="101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</row>
    <row r="80">
      <c r="A80" s="49"/>
      <c r="B80" s="49"/>
      <c r="C80" s="49"/>
      <c r="D80" s="4"/>
      <c r="E80" s="101"/>
      <c r="F80" s="49"/>
      <c r="G80" s="49"/>
      <c r="H80" s="49"/>
      <c r="I80" s="101"/>
      <c r="J80" s="49"/>
      <c r="K80" s="101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  <c r="AA80" s="49"/>
    </row>
    <row r="81">
      <c r="A81" s="49"/>
      <c r="B81" s="49"/>
      <c r="C81" s="49"/>
      <c r="D81" s="4"/>
      <c r="E81" s="101"/>
      <c r="F81" s="104">
        <v>45958.0</v>
      </c>
      <c r="G81" s="108">
        <v>14.0</v>
      </c>
      <c r="H81" s="108" t="s">
        <v>98</v>
      </c>
      <c r="I81" s="109" t="s">
        <v>102</v>
      </c>
      <c r="J81" s="108">
        <v>2.0</v>
      </c>
      <c r="K81" s="109">
        <v>6634.0</v>
      </c>
      <c r="L81" s="3">
        <v>663.0</v>
      </c>
      <c r="M81" s="110"/>
      <c r="N81" s="68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</row>
    <row r="82">
      <c r="A82" s="111" t="s">
        <v>114</v>
      </c>
      <c r="B82" s="92" t="s">
        <v>66</v>
      </c>
      <c r="C82" s="92" t="s">
        <v>94</v>
      </c>
      <c r="D82" s="4"/>
      <c r="E82" s="101"/>
      <c r="F82" s="112">
        <v>45959.0</v>
      </c>
      <c r="G82" s="3">
        <v>15.0</v>
      </c>
      <c r="H82" s="3" t="s">
        <v>98</v>
      </c>
      <c r="I82" s="109" t="s">
        <v>115</v>
      </c>
      <c r="J82" s="3">
        <v>2.0</v>
      </c>
      <c r="K82" s="109">
        <v>190.89</v>
      </c>
      <c r="L82" s="3">
        <v>0.0</v>
      </c>
      <c r="M82" s="110"/>
      <c r="N82" s="68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</row>
    <row r="83">
      <c r="A83" s="113">
        <v>46027.0</v>
      </c>
      <c r="B83" s="92">
        <v>2.0</v>
      </c>
      <c r="C83" s="92">
        <v>3230.0</v>
      </c>
      <c r="D83" s="4"/>
      <c r="E83" s="101"/>
      <c r="F83" s="112">
        <v>45960.0</v>
      </c>
      <c r="G83" s="108">
        <v>16.0</v>
      </c>
      <c r="H83" s="108" t="s">
        <v>98</v>
      </c>
      <c r="I83" s="109" t="s">
        <v>116</v>
      </c>
      <c r="J83" s="3">
        <v>2.5</v>
      </c>
      <c r="K83" s="114">
        <v>21529.0</v>
      </c>
      <c r="L83" s="3">
        <v>2152.0</v>
      </c>
      <c r="M83" s="110"/>
      <c r="N83" s="68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</row>
    <row r="84">
      <c r="A84" s="113">
        <v>46028.0</v>
      </c>
      <c r="B84" s="92">
        <v>2.0</v>
      </c>
      <c r="C84" s="92">
        <v>4274.0</v>
      </c>
      <c r="D84" s="4"/>
      <c r="E84" s="101"/>
      <c r="F84" s="112">
        <v>45960.0</v>
      </c>
      <c r="G84" s="3">
        <v>17.0</v>
      </c>
      <c r="H84" s="3" t="s">
        <v>98</v>
      </c>
      <c r="I84" s="109" t="s">
        <v>117</v>
      </c>
      <c r="J84" s="3">
        <v>1.0</v>
      </c>
      <c r="K84" s="109">
        <v>3539.0</v>
      </c>
      <c r="L84" s="3">
        <v>353.0</v>
      </c>
      <c r="M84" s="110"/>
      <c r="N84" s="68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  <c r="AA84" s="49"/>
    </row>
    <row r="85">
      <c r="A85" s="113">
        <v>46029.0</v>
      </c>
      <c r="B85" s="92">
        <v>40.0</v>
      </c>
      <c r="C85" s="92">
        <v>200.0</v>
      </c>
      <c r="D85" s="4"/>
      <c r="E85" s="101"/>
      <c r="F85" s="112">
        <v>45960.0</v>
      </c>
      <c r="G85" s="108">
        <v>18.0</v>
      </c>
      <c r="H85" s="3" t="s">
        <v>98</v>
      </c>
      <c r="I85" s="109" t="s">
        <v>26</v>
      </c>
      <c r="J85" s="3">
        <v>0.5</v>
      </c>
      <c r="K85" s="114">
        <v>1785.0</v>
      </c>
      <c r="L85" s="3">
        <v>0.0</v>
      </c>
      <c r="M85" s="110"/>
      <c r="N85" s="68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  <c r="AA85" s="49"/>
    </row>
    <row r="86">
      <c r="A86" s="113">
        <v>46030.0</v>
      </c>
      <c r="B86" s="92">
        <v>2.0</v>
      </c>
      <c r="C86" s="92">
        <v>6028.0</v>
      </c>
      <c r="D86" s="4"/>
      <c r="E86" s="101"/>
      <c r="F86" s="112">
        <v>45961.0</v>
      </c>
      <c r="G86" s="3">
        <v>19.0</v>
      </c>
      <c r="H86" s="3" t="s">
        <v>98</v>
      </c>
      <c r="I86" s="109" t="s">
        <v>118</v>
      </c>
      <c r="J86" s="3">
        <v>1.0</v>
      </c>
      <c r="K86" s="109">
        <v>3561.0</v>
      </c>
      <c r="L86" s="3">
        <v>356.0</v>
      </c>
      <c r="M86" s="110"/>
      <c r="N86" s="68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</row>
    <row r="87">
      <c r="A87" s="113">
        <v>46031.0</v>
      </c>
      <c r="B87" s="92">
        <v>2.1</v>
      </c>
      <c r="C87" s="115">
        <v>3624.81</v>
      </c>
      <c r="D87" s="4"/>
      <c r="E87" s="101"/>
      <c r="F87" s="49"/>
      <c r="G87" s="49"/>
      <c r="H87" s="49"/>
      <c r="I87" s="101"/>
      <c r="J87" s="49"/>
      <c r="K87" s="101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</row>
    <row r="88">
      <c r="A88" s="113">
        <v>46032.0</v>
      </c>
      <c r="B88" s="92">
        <v>2.0</v>
      </c>
      <c r="C88" s="116">
        <v>3344.68</v>
      </c>
      <c r="D88" s="4"/>
      <c r="E88" s="101"/>
      <c r="F88" s="49"/>
      <c r="G88" s="49"/>
      <c r="H88" s="49"/>
      <c r="I88" s="101"/>
      <c r="J88" s="49"/>
      <c r="K88" s="101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</row>
    <row r="89">
      <c r="A89" s="113">
        <v>46034.0</v>
      </c>
      <c r="B89" s="92">
        <v>2.0</v>
      </c>
      <c r="C89" s="115">
        <v>4314.6</v>
      </c>
      <c r="D89" s="4"/>
      <c r="E89" s="101"/>
      <c r="F89" s="49"/>
      <c r="G89" s="49"/>
      <c r="H89" s="49"/>
      <c r="I89" s="101"/>
      <c r="J89" s="49"/>
      <c r="K89" s="101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</row>
    <row r="90">
      <c r="A90" s="113">
        <v>46037.0</v>
      </c>
      <c r="B90" s="92">
        <v>2.5</v>
      </c>
      <c r="C90" s="92">
        <v>3945.0</v>
      </c>
      <c r="D90" s="4"/>
      <c r="E90" s="101"/>
      <c r="F90" s="104">
        <v>45958.0</v>
      </c>
      <c r="G90" s="3">
        <v>8.0</v>
      </c>
      <c r="H90" s="3" t="s">
        <v>110</v>
      </c>
      <c r="I90" s="117" t="s">
        <v>101</v>
      </c>
      <c r="J90" s="108">
        <v>2.0</v>
      </c>
      <c r="K90" s="109">
        <v>0.0</v>
      </c>
      <c r="L90" s="3">
        <v>0.0</v>
      </c>
      <c r="M90" s="110"/>
      <c r="N90" s="68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  <c r="AA90" s="49"/>
    </row>
    <row r="91">
      <c r="A91" s="113">
        <v>46040.0</v>
      </c>
      <c r="B91" s="92">
        <v>2.5</v>
      </c>
      <c r="C91" s="115">
        <v>3997.62</v>
      </c>
      <c r="D91" s="4"/>
      <c r="E91" s="118"/>
      <c r="F91" s="104">
        <v>45959.0</v>
      </c>
      <c r="G91" s="3">
        <v>9.0</v>
      </c>
      <c r="H91" s="3" t="s">
        <v>110</v>
      </c>
      <c r="I91" s="117" t="s">
        <v>119</v>
      </c>
      <c r="J91" s="108">
        <v>1.0</v>
      </c>
      <c r="K91" s="109">
        <v>1738.0</v>
      </c>
      <c r="L91" s="110"/>
      <c r="M91" s="3" t="s">
        <v>120</v>
      </c>
      <c r="N91" s="68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  <c r="AA91" s="49"/>
    </row>
    <row r="92">
      <c r="A92" s="113">
        <v>46041.0</v>
      </c>
      <c r="B92" s="92">
        <v>2.0</v>
      </c>
      <c r="C92" s="119">
        <v>3234.0</v>
      </c>
      <c r="D92" s="4"/>
      <c r="E92" s="101"/>
      <c r="F92" s="104">
        <v>45960.0</v>
      </c>
      <c r="G92" s="3">
        <v>10.0</v>
      </c>
      <c r="H92" s="3" t="s">
        <v>110</v>
      </c>
      <c r="I92" s="117" t="s">
        <v>121</v>
      </c>
      <c r="J92" s="3">
        <v>0.2</v>
      </c>
      <c r="K92" s="109">
        <v>1960.0</v>
      </c>
      <c r="L92" s="3">
        <v>0.0</v>
      </c>
      <c r="M92" s="3" t="s">
        <v>122</v>
      </c>
      <c r="N92" s="68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</row>
    <row r="93">
      <c r="A93" s="113">
        <v>46042.0</v>
      </c>
      <c r="B93" s="92">
        <v>2.0</v>
      </c>
      <c r="C93" s="115">
        <v>1721.24</v>
      </c>
      <c r="D93" s="4"/>
      <c r="E93" s="101"/>
      <c r="F93" s="112">
        <v>45961.0</v>
      </c>
      <c r="G93" s="3">
        <v>11.0</v>
      </c>
      <c r="H93" s="3" t="s">
        <v>110</v>
      </c>
      <c r="I93" s="117" t="s">
        <v>123</v>
      </c>
      <c r="J93" s="3">
        <v>0.5</v>
      </c>
      <c r="K93" s="109">
        <v>0.0</v>
      </c>
      <c r="L93" s="3">
        <v>0.0</v>
      </c>
      <c r="M93" s="110"/>
      <c r="N93" s="68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</row>
    <row r="94">
      <c r="A94" s="113">
        <v>46043.0</v>
      </c>
      <c r="B94" s="92">
        <v>2.0</v>
      </c>
      <c r="C94" s="115">
        <v>2201.79</v>
      </c>
      <c r="D94" s="4"/>
      <c r="E94" s="101"/>
      <c r="F94" s="49"/>
      <c r="G94" s="49"/>
      <c r="H94" s="49"/>
      <c r="I94" s="101"/>
      <c r="J94" s="49"/>
      <c r="K94" s="101">
        <f>SUM(K81:K93)</f>
        <v>40936.89</v>
      </c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  <c r="AA94" s="49"/>
    </row>
    <row r="95">
      <c r="A95" s="113">
        <v>46044.0</v>
      </c>
      <c r="B95" s="92">
        <v>2.0</v>
      </c>
      <c r="C95" s="115">
        <v>2662.44</v>
      </c>
      <c r="D95" s="4"/>
      <c r="E95" s="101"/>
      <c r="F95" s="49"/>
      <c r="G95" s="49"/>
      <c r="H95" s="49"/>
      <c r="I95" s="101"/>
      <c r="J95" s="49"/>
      <c r="K95" s="101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</row>
    <row r="96">
      <c r="A96" s="113">
        <v>46045.0</v>
      </c>
      <c r="B96" s="92">
        <v>2.0</v>
      </c>
      <c r="C96" s="92">
        <v>3998.02</v>
      </c>
      <c r="D96" s="4"/>
      <c r="E96" s="101"/>
      <c r="F96" s="49"/>
      <c r="G96" s="49"/>
      <c r="H96" s="49"/>
      <c r="I96" s="101"/>
      <c r="J96" s="49"/>
      <c r="K96" s="101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  <c r="AA96" s="49"/>
    </row>
    <row r="97">
      <c r="A97" s="113">
        <v>46048.0</v>
      </c>
      <c r="B97" s="92">
        <v>4.0</v>
      </c>
      <c r="C97" s="115">
        <v>5191.0</v>
      </c>
      <c r="D97" s="4"/>
      <c r="E97" s="101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  <c r="AA97" s="49"/>
    </row>
    <row r="98">
      <c r="A98" s="113">
        <v>46049.0</v>
      </c>
      <c r="B98" s="92">
        <v>4.0</v>
      </c>
      <c r="C98" s="115">
        <v>5389.93</v>
      </c>
      <c r="D98" s="4"/>
      <c r="E98" s="101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  <c r="AA98" s="49"/>
    </row>
    <row r="99">
      <c r="A99" s="113">
        <v>46050.0</v>
      </c>
      <c r="B99" s="92">
        <v>3.0</v>
      </c>
      <c r="C99" s="115">
        <v>4365.33</v>
      </c>
      <c r="D99" s="4"/>
      <c r="E99" s="101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  <c r="AA99" s="49"/>
    </row>
    <row r="100">
      <c r="A100" s="113">
        <v>46051.0</v>
      </c>
      <c r="B100" s="92">
        <v>2.5</v>
      </c>
      <c r="C100" s="115">
        <v>3841.27</v>
      </c>
      <c r="D100" s="4"/>
      <c r="E100" s="101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</row>
    <row r="101">
      <c r="A101" s="113">
        <v>46052.0</v>
      </c>
      <c r="B101" s="92">
        <v>2.0</v>
      </c>
      <c r="C101" s="115">
        <v>6191.68</v>
      </c>
      <c r="D101" s="4"/>
      <c r="E101" s="101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  <c r="AA101" s="49"/>
    </row>
    <row r="102">
      <c r="A102" s="113">
        <v>46053.0</v>
      </c>
      <c r="B102" s="92">
        <v>4.0</v>
      </c>
      <c r="C102" s="115">
        <v>13752.01</v>
      </c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</row>
    <row r="103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  <c r="AA103" s="49"/>
    </row>
    <row r="104">
      <c r="A104" s="49"/>
      <c r="B104" s="49"/>
      <c r="C104" s="49"/>
      <c r="D104" s="49"/>
      <c r="E104" s="49"/>
      <c r="F104" s="49"/>
      <c r="G104" s="101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  <c r="AA104" s="49"/>
    </row>
    <row r="105">
      <c r="A105" s="49"/>
      <c r="B105" s="49"/>
      <c r="C105" s="49"/>
      <c r="D105" s="49"/>
      <c r="E105" s="49"/>
      <c r="F105" s="49"/>
      <c r="G105" s="101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  <c r="AA105" s="49"/>
    </row>
    <row r="106">
      <c r="A106" s="84">
        <v>15900.0</v>
      </c>
      <c r="B106" s="51">
        <v>5.3</v>
      </c>
      <c r="C106" s="49">
        <f>SUM(C83:C102)</f>
        <v>85507.42</v>
      </c>
      <c r="D106" s="49"/>
      <c r="E106" s="49"/>
      <c r="F106" s="49"/>
      <c r="G106" s="101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  <c r="AA106" s="49"/>
    </row>
    <row r="107">
      <c r="A107" s="49"/>
      <c r="B107" s="49"/>
      <c r="C107" s="49"/>
      <c r="D107" s="49"/>
      <c r="E107" s="49"/>
      <c r="F107" s="49"/>
      <c r="G107" s="101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  <c r="AA107" s="49"/>
    </row>
    <row r="108">
      <c r="A108" s="49"/>
      <c r="B108" s="49"/>
      <c r="C108" s="49"/>
      <c r="D108" s="49"/>
      <c r="E108" s="49"/>
      <c r="F108" s="49"/>
      <c r="G108" s="101"/>
      <c r="H108" s="49"/>
      <c r="I108" s="101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  <c r="AA108" s="49"/>
    </row>
    <row r="109">
      <c r="A109" s="49"/>
      <c r="B109" s="49"/>
      <c r="C109" s="49"/>
      <c r="D109" s="49"/>
      <c r="E109" s="49"/>
      <c r="F109" s="49"/>
      <c r="G109" s="101"/>
      <c r="H109" s="49"/>
      <c r="I109" s="101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  <c r="AA109" s="49"/>
    </row>
    <row r="110">
      <c r="A110" s="49"/>
      <c r="B110" s="49"/>
      <c r="C110" s="49"/>
      <c r="D110" s="49"/>
      <c r="E110" s="49"/>
      <c r="F110" s="49"/>
      <c r="G110" s="101"/>
      <c r="H110" s="49"/>
      <c r="I110" s="101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  <c r="AA110" s="49"/>
    </row>
    <row r="111">
      <c r="A111" s="49"/>
      <c r="B111" s="49"/>
      <c r="C111" s="49"/>
      <c r="D111" s="49"/>
      <c r="E111" s="49"/>
      <c r="F111" s="49"/>
      <c r="G111" s="101"/>
      <c r="H111" s="49"/>
      <c r="I111" s="101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  <c r="AA111" s="49"/>
    </row>
    <row r="112">
      <c r="A112" s="49"/>
      <c r="B112" s="49"/>
      <c r="C112" s="49"/>
      <c r="D112" s="49"/>
      <c r="E112" s="49"/>
      <c r="F112" s="49"/>
      <c r="G112" s="101"/>
      <c r="H112" s="49"/>
      <c r="I112" s="101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  <c r="AA112" s="49"/>
    </row>
    <row r="113">
      <c r="A113" s="49"/>
      <c r="B113" s="49"/>
      <c r="C113" s="49"/>
      <c r="D113" s="49"/>
      <c r="E113" s="49"/>
      <c r="F113" s="49"/>
      <c r="G113" s="101"/>
      <c r="H113" s="49"/>
      <c r="I113" s="101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  <c r="AA113" s="49"/>
    </row>
    <row r="114">
      <c r="A114" s="49"/>
      <c r="B114" s="49"/>
      <c r="C114" s="49"/>
      <c r="D114" s="49"/>
      <c r="E114" s="49"/>
      <c r="F114" s="49"/>
      <c r="G114" s="101"/>
      <c r="H114" s="49"/>
      <c r="I114" s="101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  <c r="AA114" s="49"/>
    </row>
    <row r="115">
      <c r="A115" s="49"/>
      <c r="B115" s="49"/>
      <c r="C115" s="49"/>
      <c r="D115" s="49"/>
      <c r="E115" s="49"/>
      <c r="F115" s="49"/>
      <c r="G115" s="101"/>
      <c r="H115" s="49"/>
      <c r="I115" s="101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  <c r="AA115" s="49"/>
    </row>
    <row r="116">
      <c r="A116" s="49"/>
      <c r="B116" s="49"/>
      <c r="C116" s="49"/>
      <c r="D116" s="49"/>
      <c r="E116" s="49"/>
      <c r="F116" s="49"/>
      <c r="G116" s="101"/>
      <c r="H116" s="49"/>
      <c r="I116" s="101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  <c r="AA116" s="49"/>
    </row>
    <row r="117">
      <c r="A117" s="49"/>
      <c r="B117" s="49"/>
      <c r="C117" s="49"/>
      <c r="D117" s="49"/>
      <c r="E117" s="49"/>
      <c r="F117" s="49"/>
      <c r="G117" s="101"/>
      <c r="H117" s="49"/>
      <c r="I117" s="101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  <c r="AA117" s="49"/>
    </row>
    <row r="118">
      <c r="A118" s="49"/>
      <c r="B118" s="49"/>
      <c r="C118" s="49"/>
      <c r="D118" s="49"/>
      <c r="E118" s="49"/>
      <c r="F118" s="49"/>
      <c r="G118" s="101"/>
      <c r="H118" s="49"/>
      <c r="I118" s="101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  <c r="AA118" s="49"/>
    </row>
    <row r="119">
      <c r="A119" s="49"/>
      <c r="B119" s="49"/>
      <c r="C119" s="49"/>
      <c r="D119" s="49"/>
      <c r="E119" s="49"/>
      <c r="F119" s="49"/>
      <c r="G119" s="101"/>
      <c r="H119" s="49"/>
      <c r="I119" s="101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  <c r="AA119" s="49"/>
    </row>
    <row r="120">
      <c r="A120" s="49"/>
      <c r="B120" s="49"/>
      <c r="C120" s="49"/>
      <c r="D120" s="49"/>
      <c r="E120" s="49"/>
      <c r="F120" s="49"/>
      <c r="G120" s="101"/>
      <c r="H120" s="49"/>
      <c r="I120" s="101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  <c r="AA120" s="49"/>
    </row>
    <row r="121">
      <c r="A121" s="49"/>
      <c r="B121" s="49"/>
      <c r="C121" s="49"/>
      <c r="D121" s="49"/>
      <c r="E121" s="49"/>
      <c r="F121" s="49"/>
      <c r="G121" s="101"/>
      <c r="H121" s="49"/>
      <c r="I121" s="101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  <c r="AA121" s="49"/>
    </row>
    <row r="122">
      <c r="A122" s="49"/>
      <c r="B122" s="49"/>
      <c r="C122" s="49"/>
      <c r="D122" s="49"/>
      <c r="E122" s="49"/>
      <c r="F122" s="49"/>
      <c r="G122" s="101"/>
      <c r="H122" s="49"/>
      <c r="I122" s="101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  <c r="AA122" s="49"/>
    </row>
    <row r="123">
      <c r="A123" s="49"/>
      <c r="B123" s="49"/>
      <c r="C123" s="49"/>
      <c r="D123" s="49"/>
      <c r="E123" s="49"/>
      <c r="F123" s="49"/>
      <c r="G123" s="101"/>
      <c r="H123" s="49"/>
      <c r="I123" s="101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  <c r="AA123" s="49"/>
    </row>
    <row r="124">
      <c r="A124" s="49"/>
      <c r="B124" s="49"/>
      <c r="C124" s="49"/>
      <c r="D124" s="49"/>
      <c r="E124" s="49"/>
      <c r="F124" s="49"/>
      <c r="G124" s="101"/>
      <c r="H124" s="49"/>
      <c r="I124" s="101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  <c r="AA124" s="49"/>
    </row>
    <row r="125">
      <c r="A125" s="49"/>
      <c r="B125" s="49"/>
      <c r="C125" s="49"/>
      <c r="D125" s="49"/>
      <c r="E125" s="49"/>
      <c r="F125" s="49"/>
      <c r="G125" s="101"/>
      <c r="H125" s="49"/>
      <c r="I125" s="101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  <c r="AA125" s="49"/>
    </row>
    <row r="126">
      <c r="A126" s="49"/>
      <c r="B126" s="49"/>
      <c r="C126" s="49"/>
      <c r="D126" s="49"/>
      <c r="E126" s="49"/>
      <c r="F126" s="49"/>
      <c r="G126" s="101"/>
      <c r="H126" s="49"/>
      <c r="I126" s="101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</row>
    <row r="127">
      <c r="A127" s="49"/>
      <c r="B127" s="49"/>
      <c r="C127" s="49"/>
      <c r="D127" s="49"/>
      <c r="E127" s="49"/>
      <c r="F127" s="49"/>
      <c r="G127" s="101"/>
      <c r="H127" s="49"/>
      <c r="I127" s="101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  <c r="AA127" s="49"/>
    </row>
    <row r="128">
      <c r="A128" s="49"/>
      <c r="B128" s="49"/>
      <c r="C128" s="49"/>
      <c r="D128" s="49"/>
      <c r="E128" s="49"/>
      <c r="F128" s="49"/>
      <c r="G128" s="101"/>
      <c r="H128" s="49"/>
      <c r="I128" s="101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  <c r="AA128" s="49"/>
    </row>
    <row r="129">
      <c r="A129" s="49"/>
      <c r="B129" s="49"/>
      <c r="C129" s="49"/>
      <c r="D129" s="49"/>
      <c r="E129" s="49"/>
      <c r="F129" s="49"/>
      <c r="G129" s="101"/>
      <c r="H129" s="49"/>
      <c r="I129" s="101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  <c r="AA129" s="49"/>
    </row>
    <row r="130">
      <c r="A130" s="49"/>
      <c r="B130" s="49"/>
      <c r="C130" s="49"/>
      <c r="D130" s="49"/>
      <c r="E130" s="49"/>
      <c r="F130" s="49"/>
      <c r="G130" s="101"/>
      <c r="H130" s="49"/>
      <c r="I130" s="101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  <c r="AA130" s="49"/>
    </row>
    <row r="131">
      <c r="A131" s="49"/>
      <c r="B131" s="49"/>
      <c r="C131" s="49"/>
      <c r="D131" s="49"/>
      <c r="E131" s="49"/>
      <c r="F131" s="49"/>
      <c r="G131" s="101"/>
      <c r="H131" s="49"/>
      <c r="I131" s="101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  <c r="AA131" s="49"/>
    </row>
    <row r="132">
      <c r="A132" s="49"/>
      <c r="B132" s="49"/>
      <c r="C132" s="49"/>
      <c r="D132" s="49"/>
      <c r="E132" s="49"/>
      <c r="F132" s="49"/>
      <c r="G132" s="101"/>
      <c r="H132" s="49"/>
      <c r="I132" s="101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  <c r="AA132" s="49"/>
    </row>
    <row r="133">
      <c r="A133" s="49"/>
      <c r="B133" s="49"/>
      <c r="C133" s="49"/>
      <c r="D133" s="49"/>
      <c r="E133" s="49"/>
      <c r="F133" s="49"/>
      <c r="G133" s="101"/>
      <c r="H133" s="49"/>
      <c r="I133" s="101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</row>
    <row r="134">
      <c r="A134" s="49"/>
      <c r="B134" s="49"/>
      <c r="C134" s="49"/>
      <c r="D134" s="49"/>
      <c r="E134" s="49"/>
      <c r="F134" s="49"/>
      <c r="G134" s="101"/>
      <c r="H134" s="49"/>
      <c r="I134" s="101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  <c r="AA134" s="49"/>
    </row>
    <row r="135">
      <c r="A135" s="49"/>
      <c r="B135" s="49"/>
      <c r="C135" s="49"/>
      <c r="D135" s="49"/>
      <c r="E135" s="49"/>
      <c r="F135" s="49"/>
      <c r="G135" s="101"/>
      <c r="H135" s="49"/>
      <c r="I135" s="101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  <c r="AA135" s="49"/>
    </row>
    <row r="136">
      <c r="A136" s="49"/>
      <c r="B136" s="49"/>
      <c r="C136" s="49"/>
      <c r="D136" s="49"/>
      <c r="E136" s="49"/>
      <c r="F136" s="49"/>
      <c r="G136" s="101"/>
      <c r="H136" s="49"/>
      <c r="I136" s="101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  <c r="AA136" s="49"/>
    </row>
    <row r="137">
      <c r="A137" s="49"/>
      <c r="B137" s="49"/>
      <c r="C137" s="49"/>
      <c r="D137" s="49"/>
      <c r="E137" s="49"/>
      <c r="F137" s="49"/>
      <c r="G137" s="49"/>
      <c r="H137" s="49"/>
      <c r="I137" s="101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  <c r="AA137" s="49"/>
    </row>
    <row r="138">
      <c r="A138" s="49"/>
      <c r="B138" s="49"/>
      <c r="C138" s="49"/>
      <c r="D138" s="49"/>
      <c r="E138" s="49"/>
      <c r="F138" s="49"/>
      <c r="G138" s="49"/>
      <c r="H138" s="49"/>
      <c r="I138" s="101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  <c r="AA138" s="49"/>
    </row>
    <row r="139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  <c r="AA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  <c r="AA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  <c r="AA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  <c r="AA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  <c r="AA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  <c r="AA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  <c r="AA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  <c r="AA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  <c r="AA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  <c r="AA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  <c r="AA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  <c r="AA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  <c r="AA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  <c r="AA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  <c r="AA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  <c r="AA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  <c r="AA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  <c r="AA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  <c r="AA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  <c r="AA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  <c r="AA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  <c r="AA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  <c r="AA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  <c r="AA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  <c r="AA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  <c r="AA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  <c r="AA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  <c r="AA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  <c r="AA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  <c r="AA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  <c r="AA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  <c r="AA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  <c r="AA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  <c r="AA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  <c r="AA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  <c r="AA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  <c r="AA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  <c r="AA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  <c r="AA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  <c r="AA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  <c r="AA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  <c r="AA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  <c r="AA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  <c r="AA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  <c r="AA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  <c r="AA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  <c r="AA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  <c r="AA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  <c r="AA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  <c r="AA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  <c r="AA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  <c r="AA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  <c r="AA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  <c r="AA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  <c r="AA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  <c r="AA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  <c r="AA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  <c r="AA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  <c r="AA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  <c r="AA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  <c r="AA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  <c r="AA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  <c r="AA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  <c r="AA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  <c r="AA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  <c r="AA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  <c r="AA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  <c r="AA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  <c r="AA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  <c r="AA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  <c r="AA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  <c r="AA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  <c r="AA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  <c r="AA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  <c r="AA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  <c r="AA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  <c r="AA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  <c r="AA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  <c r="AA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  <c r="AA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  <c r="AA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  <c r="AA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  <c r="AA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  <c r="AA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  <c r="AA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  <c r="AA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  <c r="AA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  <c r="AA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  <c r="AA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  <c r="AA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  <c r="AA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  <c r="AA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  <c r="AA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  <c r="AA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  <c r="AA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  <c r="AA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  <c r="AA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  <c r="AA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  <c r="AA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  <c r="AA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  <c r="AA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  <c r="AA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  <c r="AA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  <c r="AA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  <c r="AA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  <c r="AA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  <c r="AA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  <c r="AA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  <c r="AA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  <c r="AA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  <c r="AA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  <c r="AA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  <c r="AA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  <c r="AA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  <c r="AA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  <c r="AA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  <c r="AA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  <c r="AA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  <c r="AA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  <c r="AA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  <c r="AA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  <c r="AA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  <c r="AA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  <c r="AA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  <c r="AA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  <c r="AA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  <c r="AA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  <c r="AA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  <c r="AA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  <c r="AA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  <c r="AA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  <c r="AA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  <c r="AA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  <c r="AA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  <c r="AA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  <c r="AA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  <c r="AA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  <c r="AA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  <c r="AA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  <c r="AA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  <c r="AA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  <c r="AA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  <c r="AA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  <c r="AA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  <c r="AA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  <c r="AA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  <c r="AA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  <c r="AA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  <c r="AA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  <c r="AA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  <c r="AA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  <c r="AA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  <c r="AA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  <c r="AA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  <c r="AA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  <c r="AA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  <c r="AA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  <c r="AA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  <c r="AA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  <c r="AA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  <c r="AA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  <c r="AA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  <c r="AA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  <c r="AA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  <c r="AA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  <c r="AA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  <c r="AA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  <c r="AA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  <c r="AA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  <c r="AA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  <c r="AA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  <c r="AA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  <c r="AA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  <c r="AA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  <c r="AA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  <c r="AA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  <c r="AA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  <c r="AA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  <c r="AA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  <c r="AA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  <c r="AA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  <c r="AA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  <c r="AA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  <c r="AA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  <c r="AA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  <c r="AA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  <c r="AA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  <c r="AA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  <c r="AA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  <c r="AA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  <c r="AA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  <c r="AA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  <c r="AA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  <c r="AA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  <c r="AA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  <c r="AA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  <c r="AA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  <c r="AA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  <c r="AA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  <c r="AA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  <c r="AA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  <c r="AA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  <c r="AA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  <c r="AA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  <c r="AA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  <c r="AA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  <c r="AA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  <c r="AA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  <c r="AA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  <c r="AA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  <c r="AA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  <c r="AA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  <c r="AA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  <c r="AA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  <c r="AA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  <c r="AA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  <c r="AA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  <c r="AA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  <c r="AA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  <c r="AA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  <c r="AA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  <c r="AA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  <c r="AA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  <c r="AA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  <c r="AA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  <c r="AA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  <c r="AA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  <c r="AA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  <c r="AA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  <c r="AA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  <c r="AA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  <c r="AA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  <c r="AA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  <c r="AA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  <c r="AA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  <c r="AA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  <c r="AA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  <c r="AA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  <c r="AA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  <c r="AA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  <c r="AA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  <c r="AA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  <c r="AA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  <c r="AA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  <c r="AA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  <c r="AA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  <c r="AA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  <c r="AA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  <c r="AA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  <c r="AA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  <c r="AA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  <c r="AA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  <c r="AA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  <c r="AA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  <c r="AA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  <c r="AA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  <c r="AA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  <c r="AA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  <c r="AA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  <c r="AA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  <c r="AA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  <c r="AA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  <c r="AA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  <c r="AA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  <c r="AA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  <c r="AA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  <c r="AA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  <c r="AA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  <c r="AA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  <c r="AA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  <c r="AA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  <c r="AA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  <c r="AA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  <c r="AA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  <c r="AA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  <c r="AA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  <c r="AA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  <c r="AA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  <c r="AA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  <c r="AA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  <c r="AA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  <c r="AA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  <c r="AA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  <c r="AA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  <c r="AA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  <c r="AA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  <c r="AA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  <c r="AA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  <c r="AA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  <c r="AA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  <c r="AA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  <c r="AA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  <c r="AA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  <c r="AA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  <c r="AA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  <c r="AA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  <c r="AA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  <c r="AA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  <c r="AA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  <c r="AA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  <c r="AA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  <c r="AA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  <c r="AA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  <c r="AA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  <c r="AA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  <c r="AA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  <c r="AA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  <c r="AA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  <c r="AA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  <c r="AA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  <c r="AA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  <c r="AA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  <c r="AA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  <c r="AA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  <c r="AA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  <c r="AA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  <c r="AA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  <c r="AA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  <c r="AA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  <c r="AA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  <c r="AA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  <c r="AA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  <c r="AA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  <c r="AA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  <c r="AA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  <c r="AA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  <c r="AA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  <c r="AA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  <c r="AA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  <c r="AA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  <c r="AA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  <c r="AA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  <c r="AA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  <c r="AA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  <c r="AA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  <c r="AA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  <c r="AA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  <c r="AA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  <c r="AA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  <c r="AA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  <c r="AA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  <c r="AA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  <c r="AA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  <c r="AA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  <c r="AA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  <c r="AA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  <c r="AA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  <c r="AA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  <c r="AA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  <c r="AA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  <c r="AA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  <c r="AA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  <c r="AA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  <c r="AA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  <c r="AA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  <c r="AA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  <c r="AA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  <c r="AA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  <c r="AA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  <c r="AA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  <c r="AA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  <c r="AA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  <c r="AA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  <c r="AA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  <c r="AA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  <c r="AA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  <c r="AA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  <c r="AA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  <c r="AA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  <c r="AA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  <c r="AA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  <c r="AA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  <c r="AA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  <c r="AA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  <c r="AA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  <c r="AA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  <c r="AA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  <c r="AA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  <c r="AA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  <c r="AA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  <c r="AA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  <c r="AA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  <c r="AA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  <c r="AA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  <c r="AA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  <c r="AA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  <c r="AA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  <c r="AA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  <c r="AA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  <c r="AA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  <c r="AA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  <c r="AA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  <c r="AA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  <c r="AA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  <c r="AA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  <c r="AA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  <c r="AA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  <c r="AA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  <c r="AA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  <c r="AA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  <c r="AA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  <c r="AA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  <c r="AA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  <c r="AA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  <c r="AA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  <c r="AA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  <c r="AA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  <c r="AA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  <c r="AA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  <c r="AA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  <c r="AA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  <c r="AA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  <c r="AA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  <c r="AA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  <c r="AA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  <c r="AA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  <c r="AA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  <c r="AA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  <c r="AA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  <c r="AA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  <c r="AA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  <c r="AA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  <c r="AA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  <c r="AA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  <c r="AA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  <c r="AA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  <c r="AA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  <c r="AA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  <c r="AA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  <c r="AA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  <c r="AA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  <c r="AA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  <c r="AA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  <c r="AA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  <c r="AA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  <c r="AA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  <c r="AA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  <c r="AA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  <c r="AA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  <c r="AA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  <c r="AA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  <c r="AA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  <c r="AA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  <c r="AA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  <c r="AA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  <c r="AA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  <c r="AA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  <c r="AA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  <c r="AA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  <c r="AA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  <c r="AA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  <c r="AA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  <c r="AA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  <c r="AA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  <c r="AA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  <c r="AA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  <c r="AA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  <c r="AA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  <c r="AA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  <c r="AA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  <c r="AA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  <c r="AA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  <c r="AA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  <c r="AA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  <c r="AA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  <c r="AA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  <c r="AA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  <c r="AA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  <c r="AA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  <c r="AA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  <c r="AA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  <c r="AA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  <c r="AA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  <c r="AA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  <c r="AA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  <c r="AA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  <c r="AA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  <c r="AA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  <c r="AA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  <c r="AA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  <c r="AA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  <c r="AA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  <c r="AA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  <c r="AA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  <c r="AA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  <c r="AA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  <c r="AA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  <c r="AA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  <c r="AA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  <c r="AA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  <c r="AA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  <c r="AA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  <c r="AA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  <c r="AA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  <c r="AA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  <c r="AA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  <c r="AA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  <c r="AA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  <c r="AA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  <c r="AA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  <c r="AA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  <c r="AA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  <c r="AA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  <c r="AA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  <c r="AA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  <c r="AA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  <c r="AA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  <c r="AA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  <c r="AA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  <c r="AA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  <c r="AA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  <c r="AA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  <c r="AA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  <c r="AA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  <c r="AA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  <c r="AA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  <c r="AA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  <c r="AA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  <c r="AA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  <c r="AA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  <c r="AA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  <c r="AA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  <c r="AA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  <c r="AA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  <c r="AA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  <c r="AA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  <c r="AA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  <c r="AA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  <c r="AA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  <c r="AA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  <c r="AA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  <c r="AA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  <c r="AA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  <c r="AA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  <c r="AA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  <c r="AA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  <c r="AA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  <c r="AA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  <c r="AA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  <c r="AA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  <c r="AA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  <c r="AA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  <c r="AA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  <c r="AA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  <c r="AA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  <c r="AA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  <c r="AA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  <c r="AA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  <c r="AA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  <c r="AA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  <c r="AA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  <c r="AA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  <c r="AA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  <c r="AA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  <c r="AA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  <c r="AA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  <c r="AA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  <c r="AA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  <c r="AA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  <c r="AA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  <c r="AA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  <c r="AA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  <c r="AA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  <c r="AA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  <c r="AA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  <c r="AA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  <c r="AA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  <c r="AA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  <c r="AA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  <c r="AA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  <c r="AA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  <c r="AA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  <c r="AA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  <c r="AA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  <c r="AA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  <c r="AA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  <c r="AA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  <c r="AA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  <c r="AA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  <c r="AA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  <c r="AA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  <c r="AA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  <c r="AA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  <c r="AA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  <c r="AA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  <c r="AA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  <c r="AA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  <c r="AA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  <c r="AA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  <c r="AA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  <c r="AA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  <c r="AA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  <c r="AA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  <c r="AA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  <c r="AA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  <c r="AA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  <c r="AA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  <c r="AA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  <c r="AA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  <c r="AA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  <c r="AA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  <c r="AA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  <c r="AA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  <c r="AA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  <c r="AA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  <c r="AA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  <c r="AA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  <c r="AA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  <c r="AA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  <c r="AA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  <c r="AA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  <c r="AA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  <c r="AA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  <c r="AA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  <c r="AA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  <c r="AA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  <c r="AA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  <c r="AA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  <c r="AA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  <c r="AA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  <c r="AA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  <c r="AA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  <c r="AA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  <c r="AA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  <c r="AA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  <c r="AA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  <c r="AA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  <c r="AA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  <c r="AA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  <c r="AA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  <c r="AA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  <c r="AA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  <c r="AA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  <c r="AA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  <c r="AA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  <c r="AA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  <c r="AA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  <c r="AA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  <c r="AA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  <c r="AA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  <c r="AA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  <c r="AA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  <c r="AA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  <c r="AA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  <c r="AA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  <c r="AA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  <c r="AA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  <c r="AA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  <c r="AA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  <c r="AA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  <c r="AA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  <c r="AA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  <c r="AA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  <c r="AA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  <c r="AA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  <c r="AA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  <c r="AA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  <c r="AA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  <c r="AA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  <c r="AA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  <c r="AA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  <c r="AA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  <c r="AA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  <c r="AA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  <c r="AA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  <c r="AA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  <c r="AA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  <c r="AA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  <c r="AA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  <c r="AA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  <c r="AA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  <c r="AA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  <c r="AA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  <c r="AA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  <c r="AA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  <c r="AA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  <c r="AA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  <c r="AA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  <c r="AA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  <c r="AA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  <c r="AA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  <c r="AA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  <c r="AA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  <c r="AA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  <c r="AA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  <c r="AA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  <c r="AA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  <c r="AA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  <c r="AA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  <c r="AA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  <c r="AA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  <c r="AA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  <c r="AA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  <c r="AA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  <c r="AA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  <c r="AA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  <c r="AA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  <c r="AA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  <c r="AA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  <c r="AA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  <c r="AA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  <c r="AA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  <c r="AA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  <c r="AA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  <c r="AA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  <c r="AA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  <c r="AA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  <c r="AA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  <c r="AA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  <c r="AA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  <c r="AA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  <c r="AA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  <c r="AA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  <c r="AA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  <c r="AA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  <c r="AA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  <c r="AA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  <c r="AA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  <c r="AA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  <c r="AA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  <c r="AA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  <c r="AA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  <c r="AA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  <c r="AA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  <c r="AA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  <c r="AA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  <c r="AA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  <c r="AA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  <c r="AA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  <c r="AA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  <c r="AA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  <c r="AA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  <c r="AA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  <c r="AA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  <c r="AA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  <c r="AA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  <c r="AA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  <c r="AA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  <c r="AA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  <c r="AA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  <c r="AA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  <c r="AA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  <c r="AA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  <c r="AA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  <c r="AA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  <c r="AA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  <c r="AA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  <c r="AA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  <c r="AA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  <c r="AA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  <c r="AA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  <c r="AA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  <c r="AA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  <c r="AA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  <c r="AA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  <c r="AA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  <c r="AA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  <c r="AA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  <c r="AA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  <c r="AA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  <c r="AA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  <c r="AA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  <c r="AA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  <c r="AA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  <c r="AA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  <c r="AA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  <c r="AA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  <c r="AA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  <c r="AA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  <c r="AA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  <c r="AA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  <c r="AA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  <c r="AA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  <c r="AA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  <c r="AA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  <c r="AA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  <c r="AA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  <c r="AA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  <c r="AA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  <c r="AA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  <c r="AA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  <c r="AA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  <c r="AA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  <c r="AA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  <c r="AA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  <c r="AA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  <c r="AA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  <c r="AA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  <c r="AA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  <c r="AA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  <c r="AA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  <c r="AA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  <c r="AA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  <c r="AA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  <c r="AA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  <c r="AA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  <c r="AA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  <c r="AA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  <c r="AA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  <c r="AA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  <c r="AA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  <c r="AA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  <c r="AA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  <c r="AA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  <c r="AA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  <c r="AA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  <c r="AA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  <c r="AA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  <c r="AA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  <c r="AA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  <c r="AA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  <c r="AA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  <c r="AA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  <c r="AA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  <c r="AA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  <c r="AA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  <c r="AA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  <c r="AA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  <c r="AA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  <c r="AA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  <c r="AA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  <c r="AA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  <c r="AA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  <c r="AA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  <c r="AA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  <c r="AA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  <c r="AA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  <c r="AA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  <c r="AA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  <c r="AA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  <c r="AA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  <c r="AA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  <c r="AA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  <c r="AA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  <c r="AA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  <c r="AA1000" s="49"/>
    </row>
    <row r="1001">
      <c r="A1001" s="49"/>
      <c r="B1001" s="49"/>
      <c r="C1001" s="49"/>
      <c r="D1001" s="49"/>
      <c r="E1001" s="49"/>
      <c r="F1001" s="49"/>
      <c r="G1001" s="49"/>
      <c r="H1001" s="49"/>
      <c r="I1001" s="49"/>
      <c r="J1001" s="49"/>
      <c r="K1001" s="49"/>
      <c r="L1001" s="49"/>
      <c r="M1001" s="49"/>
      <c r="N1001" s="49"/>
      <c r="O1001" s="49"/>
      <c r="P1001" s="49"/>
      <c r="Q1001" s="49"/>
      <c r="R1001" s="49"/>
      <c r="S1001" s="49"/>
      <c r="T1001" s="49"/>
      <c r="U1001" s="49"/>
      <c r="V1001" s="49"/>
      <c r="W1001" s="49"/>
      <c r="X1001" s="49"/>
      <c r="Y1001" s="49"/>
      <c r="Z1001" s="49"/>
      <c r="AA1001" s="49"/>
    </row>
    <row r="1002">
      <c r="A1002" s="49"/>
      <c r="B1002" s="49"/>
      <c r="C1002" s="49"/>
      <c r="D1002" s="49"/>
      <c r="E1002" s="49"/>
      <c r="F1002" s="49"/>
      <c r="G1002" s="49"/>
      <c r="H1002" s="49"/>
      <c r="I1002" s="49"/>
      <c r="J1002" s="49"/>
      <c r="K1002" s="49"/>
      <c r="L1002" s="49"/>
      <c r="M1002" s="49"/>
      <c r="N1002" s="49"/>
      <c r="O1002" s="49"/>
      <c r="P1002" s="49"/>
      <c r="Q1002" s="49"/>
      <c r="R1002" s="49"/>
      <c r="S1002" s="49"/>
      <c r="T1002" s="49"/>
      <c r="U1002" s="49"/>
      <c r="V1002" s="49"/>
      <c r="W1002" s="49"/>
      <c r="X1002" s="49"/>
      <c r="Y1002" s="49"/>
      <c r="Z1002" s="49"/>
      <c r="AA1002" s="49"/>
    </row>
    <row r="1003">
      <c r="A1003" s="49"/>
      <c r="B1003" s="49"/>
      <c r="C1003" s="49"/>
      <c r="D1003" s="49"/>
      <c r="E1003" s="49"/>
      <c r="F1003" s="49"/>
      <c r="G1003" s="49"/>
      <c r="H1003" s="49"/>
      <c r="I1003" s="49"/>
      <c r="J1003" s="49"/>
      <c r="K1003" s="49"/>
      <c r="L1003" s="49"/>
      <c r="M1003" s="49"/>
      <c r="N1003" s="49"/>
      <c r="O1003" s="49"/>
      <c r="P1003" s="49"/>
      <c r="Q1003" s="49"/>
      <c r="R1003" s="49"/>
      <c r="S1003" s="49"/>
      <c r="T1003" s="49"/>
      <c r="U1003" s="49"/>
      <c r="V1003" s="49"/>
      <c r="W1003" s="49"/>
      <c r="X1003" s="49"/>
      <c r="Y1003" s="49"/>
      <c r="Z1003" s="49"/>
      <c r="AA1003" s="49"/>
    </row>
    <row r="1004">
      <c r="A1004" s="49"/>
      <c r="B1004" s="49"/>
      <c r="C1004" s="49"/>
      <c r="D1004" s="49"/>
      <c r="E1004" s="49"/>
      <c r="F1004" s="49"/>
      <c r="G1004" s="49"/>
      <c r="H1004" s="49"/>
      <c r="I1004" s="49"/>
      <c r="J1004" s="49"/>
      <c r="K1004" s="49"/>
      <c r="L1004" s="49"/>
      <c r="M1004" s="49"/>
      <c r="N1004" s="49"/>
      <c r="O1004" s="49"/>
      <c r="P1004" s="49"/>
      <c r="Q1004" s="49"/>
      <c r="R1004" s="49"/>
      <c r="S1004" s="49"/>
      <c r="T1004" s="49"/>
      <c r="U1004" s="49"/>
      <c r="V1004" s="49"/>
      <c r="W1004" s="49"/>
      <c r="X1004" s="49"/>
      <c r="Y1004" s="49"/>
      <c r="Z1004" s="49"/>
      <c r="AA1004" s="49"/>
    </row>
    <row r="1005">
      <c r="A1005" s="49"/>
      <c r="B1005" s="49"/>
      <c r="C1005" s="49"/>
      <c r="D1005" s="49"/>
      <c r="E1005" s="49"/>
      <c r="F1005" s="49"/>
      <c r="G1005" s="49"/>
      <c r="H1005" s="49"/>
      <c r="I1005" s="49"/>
      <c r="J1005" s="49"/>
      <c r="K1005" s="49"/>
      <c r="L1005" s="49"/>
      <c r="M1005" s="49"/>
      <c r="N1005" s="49"/>
      <c r="O1005" s="49"/>
      <c r="P1005" s="49"/>
      <c r="Q1005" s="49"/>
      <c r="R1005" s="49"/>
      <c r="S1005" s="49"/>
      <c r="T1005" s="49"/>
      <c r="U1005" s="49"/>
      <c r="V1005" s="49"/>
      <c r="W1005" s="49"/>
      <c r="X1005" s="49"/>
      <c r="Y1005" s="49"/>
      <c r="Z1005" s="49"/>
      <c r="AA1005" s="49"/>
    </row>
    <row r="1006">
      <c r="A1006" s="49"/>
      <c r="B1006" s="49"/>
      <c r="C1006" s="49"/>
      <c r="D1006" s="49"/>
      <c r="E1006" s="49"/>
      <c r="F1006" s="49"/>
      <c r="G1006" s="49"/>
      <c r="H1006" s="49"/>
      <c r="I1006" s="49"/>
      <c r="J1006" s="49"/>
      <c r="K1006" s="49"/>
      <c r="L1006" s="49"/>
      <c r="M1006" s="49"/>
      <c r="N1006" s="49"/>
      <c r="O1006" s="49"/>
      <c r="P1006" s="49"/>
      <c r="Q1006" s="49"/>
      <c r="R1006" s="49"/>
      <c r="S1006" s="49"/>
      <c r="T1006" s="49"/>
      <c r="U1006" s="49"/>
      <c r="V1006" s="49"/>
      <c r="W1006" s="49"/>
      <c r="X1006" s="49"/>
      <c r="Y1006" s="49"/>
      <c r="Z1006" s="49"/>
      <c r="AA1006" s="49"/>
    </row>
    <row r="1007">
      <c r="A1007" s="49"/>
      <c r="B1007" s="49"/>
      <c r="C1007" s="49"/>
      <c r="D1007" s="49"/>
      <c r="E1007" s="49"/>
      <c r="F1007" s="49"/>
      <c r="G1007" s="49"/>
      <c r="H1007" s="49"/>
      <c r="I1007" s="49"/>
      <c r="J1007" s="49"/>
      <c r="K1007" s="49"/>
      <c r="L1007" s="49"/>
      <c r="M1007" s="49"/>
      <c r="N1007" s="49"/>
      <c r="O1007" s="49"/>
      <c r="P1007" s="49"/>
      <c r="Q1007" s="49"/>
      <c r="R1007" s="49"/>
      <c r="S1007" s="49"/>
      <c r="T1007" s="49"/>
      <c r="U1007" s="49"/>
      <c r="V1007" s="49"/>
      <c r="W1007" s="49"/>
      <c r="X1007" s="49"/>
      <c r="Y1007" s="49"/>
      <c r="Z1007" s="49"/>
      <c r="AA1007" s="49"/>
    </row>
    <row r="1008">
      <c r="A1008" s="49"/>
      <c r="B1008" s="49"/>
      <c r="C1008" s="49"/>
      <c r="D1008" s="49"/>
      <c r="E1008" s="49"/>
      <c r="F1008" s="49"/>
      <c r="G1008" s="49"/>
      <c r="H1008" s="49"/>
      <c r="I1008" s="49"/>
      <c r="J1008" s="49"/>
      <c r="K1008" s="49"/>
      <c r="L1008" s="49"/>
      <c r="M1008" s="49"/>
      <c r="N1008" s="49"/>
      <c r="O1008" s="49"/>
      <c r="P1008" s="49"/>
      <c r="Q1008" s="49"/>
      <c r="R1008" s="49"/>
      <c r="S1008" s="49"/>
      <c r="T1008" s="49"/>
      <c r="U1008" s="49"/>
      <c r="V1008" s="49"/>
      <c r="W1008" s="49"/>
      <c r="X1008" s="49"/>
      <c r="Y1008" s="49"/>
      <c r="Z1008" s="49"/>
      <c r="AA1008" s="49"/>
    </row>
    <row r="1009">
      <c r="A1009" s="49"/>
      <c r="B1009" s="49"/>
      <c r="C1009" s="49"/>
      <c r="D1009" s="49"/>
      <c r="E1009" s="49"/>
      <c r="F1009" s="49"/>
      <c r="G1009" s="49"/>
      <c r="H1009" s="49"/>
      <c r="I1009" s="49"/>
      <c r="J1009" s="49"/>
      <c r="K1009" s="49"/>
      <c r="L1009" s="49"/>
      <c r="M1009" s="49"/>
      <c r="N1009" s="49"/>
      <c r="O1009" s="49"/>
      <c r="P1009" s="49"/>
      <c r="Q1009" s="49"/>
      <c r="R1009" s="49"/>
      <c r="S1009" s="49"/>
      <c r="T1009" s="49"/>
      <c r="U1009" s="49"/>
      <c r="V1009" s="49"/>
      <c r="W1009" s="49"/>
      <c r="X1009" s="49"/>
      <c r="Y1009" s="49"/>
      <c r="Z1009" s="49"/>
      <c r="AA1009" s="49"/>
    </row>
    <row r="1010">
      <c r="A1010" s="49"/>
      <c r="B1010" s="49"/>
      <c r="C1010" s="49"/>
      <c r="D1010" s="49"/>
      <c r="E1010" s="49"/>
      <c r="F1010" s="49"/>
      <c r="G1010" s="49"/>
      <c r="H1010" s="49"/>
      <c r="I1010" s="49"/>
      <c r="J1010" s="49"/>
      <c r="K1010" s="49"/>
      <c r="L1010" s="49"/>
      <c r="M1010" s="49"/>
      <c r="N1010" s="49"/>
      <c r="O1010" s="49"/>
      <c r="P1010" s="49"/>
      <c r="Q1010" s="49"/>
      <c r="R1010" s="49"/>
      <c r="S1010" s="49"/>
      <c r="T1010" s="49"/>
      <c r="U1010" s="49"/>
      <c r="V1010" s="49"/>
      <c r="W1010" s="49"/>
      <c r="X1010" s="49"/>
      <c r="Y1010" s="49"/>
      <c r="Z1010" s="49"/>
      <c r="AA1010" s="49"/>
    </row>
    <row r="1011">
      <c r="A1011" s="49"/>
      <c r="B1011" s="49"/>
      <c r="C1011" s="49"/>
      <c r="D1011" s="49"/>
      <c r="E1011" s="49"/>
      <c r="F1011" s="49"/>
      <c r="G1011" s="49"/>
      <c r="H1011" s="49"/>
      <c r="I1011" s="49"/>
      <c r="J1011" s="49"/>
      <c r="K1011" s="49"/>
      <c r="L1011" s="49"/>
      <c r="M1011" s="49"/>
      <c r="N1011" s="49"/>
      <c r="O1011" s="49"/>
      <c r="P1011" s="49"/>
      <c r="Q1011" s="49"/>
      <c r="R1011" s="49"/>
      <c r="S1011" s="49"/>
      <c r="T1011" s="49"/>
      <c r="U1011" s="49"/>
      <c r="V1011" s="49"/>
      <c r="W1011" s="49"/>
      <c r="X1011" s="49"/>
      <c r="Y1011" s="49"/>
      <c r="Z1011" s="49"/>
      <c r="AA1011" s="49"/>
    </row>
    <row r="1012">
      <c r="A1012" s="49"/>
      <c r="B1012" s="49"/>
      <c r="C1012" s="49"/>
      <c r="D1012" s="49"/>
      <c r="E1012" s="49"/>
      <c r="F1012" s="49"/>
      <c r="G1012" s="49"/>
      <c r="H1012" s="49"/>
      <c r="I1012" s="49"/>
      <c r="J1012" s="49"/>
      <c r="K1012" s="49"/>
      <c r="L1012" s="49"/>
      <c r="M1012" s="49"/>
      <c r="N1012" s="49"/>
      <c r="O1012" s="49"/>
      <c r="P1012" s="49"/>
      <c r="Q1012" s="49"/>
      <c r="R1012" s="49"/>
      <c r="S1012" s="49"/>
      <c r="T1012" s="49"/>
      <c r="U1012" s="49"/>
      <c r="V1012" s="49"/>
      <c r="W1012" s="49"/>
      <c r="X1012" s="49"/>
      <c r="Y1012" s="49"/>
      <c r="Z1012" s="49"/>
      <c r="AA1012" s="49"/>
    </row>
    <row r="1013">
      <c r="A1013" s="49"/>
      <c r="B1013" s="49"/>
      <c r="C1013" s="49"/>
      <c r="D1013" s="49"/>
      <c r="E1013" s="49"/>
      <c r="F1013" s="49"/>
      <c r="G1013" s="49"/>
      <c r="H1013" s="49"/>
      <c r="I1013" s="49"/>
      <c r="J1013" s="49"/>
      <c r="K1013" s="49"/>
      <c r="L1013" s="49"/>
      <c r="M1013" s="49"/>
      <c r="N1013" s="49"/>
      <c r="O1013" s="49"/>
      <c r="P1013" s="49"/>
      <c r="Q1013" s="49"/>
      <c r="R1013" s="49"/>
      <c r="S1013" s="49"/>
      <c r="T1013" s="49"/>
      <c r="U1013" s="49"/>
      <c r="V1013" s="49"/>
      <c r="W1013" s="49"/>
      <c r="X1013" s="49"/>
      <c r="Y1013" s="49"/>
      <c r="Z1013" s="49"/>
      <c r="AA1013" s="49"/>
    </row>
    <row r="1014">
      <c r="A1014" s="49"/>
      <c r="B1014" s="49"/>
      <c r="C1014" s="49"/>
      <c r="D1014" s="49"/>
      <c r="E1014" s="49"/>
      <c r="F1014" s="49"/>
      <c r="G1014" s="49"/>
      <c r="H1014" s="49"/>
      <c r="I1014" s="49"/>
      <c r="J1014" s="49"/>
      <c r="K1014" s="49"/>
      <c r="L1014" s="49"/>
      <c r="M1014" s="49"/>
      <c r="N1014" s="49"/>
      <c r="O1014" s="49"/>
      <c r="P1014" s="49"/>
      <c r="Q1014" s="49"/>
      <c r="R1014" s="49"/>
      <c r="S1014" s="49"/>
      <c r="T1014" s="49"/>
      <c r="U1014" s="49"/>
      <c r="V1014" s="49"/>
      <c r="W1014" s="49"/>
      <c r="X1014" s="49"/>
      <c r="Y1014" s="49"/>
      <c r="Z1014" s="49"/>
      <c r="AA1014" s="49"/>
    </row>
    <row r="1015">
      <c r="A1015" s="49"/>
      <c r="B1015" s="49"/>
      <c r="C1015" s="49"/>
      <c r="D1015" s="49"/>
      <c r="E1015" s="49"/>
      <c r="F1015" s="49"/>
      <c r="G1015" s="49"/>
      <c r="H1015" s="49"/>
      <c r="I1015" s="49"/>
      <c r="J1015" s="49"/>
      <c r="K1015" s="49"/>
      <c r="L1015" s="49"/>
      <c r="M1015" s="49"/>
      <c r="N1015" s="49"/>
      <c r="O1015" s="49"/>
      <c r="P1015" s="49"/>
      <c r="Q1015" s="49"/>
      <c r="R1015" s="49"/>
      <c r="S1015" s="49"/>
      <c r="T1015" s="49"/>
      <c r="U1015" s="49"/>
      <c r="V1015" s="49"/>
      <c r="W1015" s="49"/>
      <c r="X1015" s="49"/>
      <c r="Y1015" s="49"/>
      <c r="Z1015" s="49"/>
      <c r="AA1015" s="49"/>
    </row>
    <row r="1016">
      <c r="A1016" s="49"/>
      <c r="B1016" s="49"/>
      <c r="C1016" s="49"/>
      <c r="D1016" s="49"/>
      <c r="E1016" s="49"/>
      <c r="F1016" s="49"/>
      <c r="G1016" s="49"/>
      <c r="H1016" s="49"/>
      <c r="I1016" s="49"/>
      <c r="J1016" s="49"/>
      <c r="K1016" s="49"/>
      <c r="L1016" s="49"/>
      <c r="M1016" s="49"/>
      <c r="N1016" s="49"/>
      <c r="O1016" s="49"/>
      <c r="P1016" s="49"/>
      <c r="Q1016" s="49"/>
      <c r="R1016" s="49"/>
      <c r="S1016" s="49"/>
      <c r="T1016" s="49"/>
      <c r="U1016" s="49"/>
      <c r="V1016" s="49"/>
      <c r="W1016" s="49"/>
      <c r="X1016" s="49"/>
      <c r="Y1016" s="49"/>
      <c r="Z1016" s="49"/>
      <c r="AA1016" s="49"/>
    </row>
    <row r="1017">
      <c r="A1017" s="49"/>
      <c r="B1017" s="49"/>
      <c r="C1017" s="49"/>
      <c r="D1017" s="49"/>
      <c r="E1017" s="49"/>
      <c r="F1017" s="49"/>
      <c r="G1017" s="49"/>
      <c r="H1017" s="49"/>
      <c r="I1017" s="49"/>
      <c r="J1017" s="49"/>
      <c r="K1017" s="49"/>
      <c r="L1017" s="49"/>
      <c r="M1017" s="49"/>
      <c r="N1017" s="49"/>
      <c r="O1017" s="49"/>
      <c r="P1017" s="49"/>
      <c r="Q1017" s="49"/>
      <c r="R1017" s="49"/>
      <c r="S1017" s="49"/>
      <c r="T1017" s="49"/>
      <c r="U1017" s="49"/>
      <c r="V1017" s="49"/>
      <c r="W1017" s="49"/>
      <c r="X1017" s="49"/>
      <c r="Y1017" s="49"/>
      <c r="Z1017" s="49"/>
      <c r="AA1017" s="49"/>
    </row>
    <row r="1018">
      <c r="A1018" s="49"/>
      <c r="B1018" s="49"/>
      <c r="C1018" s="49"/>
      <c r="D1018" s="49"/>
      <c r="E1018" s="49"/>
      <c r="F1018" s="49"/>
      <c r="G1018" s="49"/>
      <c r="H1018" s="49"/>
      <c r="I1018" s="49"/>
      <c r="J1018" s="49"/>
      <c r="K1018" s="49"/>
      <c r="L1018" s="49"/>
      <c r="M1018" s="49"/>
      <c r="N1018" s="49"/>
      <c r="O1018" s="49"/>
      <c r="P1018" s="49"/>
      <c r="Q1018" s="49"/>
      <c r="R1018" s="49"/>
      <c r="S1018" s="49"/>
      <c r="T1018" s="49"/>
      <c r="U1018" s="49"/>
      <c r="V1018" s="49"/>
      <c r="W1018" s="49"/>
      <c r="X1018" s="49"/>
      <c r="Y1018" s="49"/>
      <c r="Z1018" s="49"/>
      <c r="AA1018" s="49"/>
    </row>
    <row r="1019">
      <c r="A1019" s="49"/>
      <c r="B1019" s="49"/>
      <c r="C1019" s="49"/>
      <c r="D1019" s="49"/>
      <c r="E1019" s="49"/>
      <c r="F1019" s="49"/>
      <c r="G1019" s="49"/>
      <c r="H1019" s="49"/>
      <c r="I1019" s="49"/>
      <c r="J1019" s="49"/>
      <c r="K1019" s="49"/>
      <c r="L1019" s="49"/>
      <c r="M1019" s="49"/>
      <c r="N1019" s="49"/>
      <c r="O1019" s="49"/>
      <c r="P1019" s="49"/>
      <c r="Q1019" s="49"/>
      <c r="R1019" s="49"/>
      <c r="S1019" s="49"/>
      <c r="T1019" s="49"/>
      <c r="U1019" s="49"/>
      <c r="V1019" s="49"/>
      <c r="W1019" s="49"/>
      <c r="X1019" s="49"/>
      <c r="Y1019" s="49"/>
      <c r="Z1019" s="49"/>
      <c r="AA1019" s="49"/>
    </row>
    <row r="1020">
      <c r="A1020" s="49"/>
      <c r="B1020" s="49"/>
      <c r="C1020" s="49"/>
      <c r="D1020" s="49"/>
      <c r="E1020" s="49"/>
      <c r="F1020" s="49"/>
      <c r="G1020" s="49"/>
      <c r="H1020" s="49"/>
      <c r="I1020" s="49"/>
      <c r="J1020" s="49"/>
      <c r="K1020" s="49"/>
      <c r="L1020" s="49"/>
      <c r="M1020" s="49"/>
      <c r="N1020" s="49"/>
      <c r="O1020" s="49"/>
      <c r="P1020" s="49"/>
      <c r="Q1020" s="49"/>
      <c r="R1020" s="49"/>
      <c r="S1020" s="49"/>
      <c r="T1020" s="49"/>
      <c r="U1020" s="49"/>
      <c r="V1020" s="49"/>
      <c r="W1020" s="49"/>
      <c r="X1020" s="49"/>
      <c r="Y1020" s="49"/>
      <c r="Z1020" s="49"/>
      <c r="AA1020" s="49"/>
    </row>
    <row r="1021">
      <c r="A1021" s="49"/>
      <c r="B1021" s="49"/>
      <c r="C1021" s="49"/>
      <c r="D1021" s="49"/>
      <c r="E1021" s="49"/>
      <c r="F1021" s="49"/>
      <c r="G1021" s="49"/>
      <c r="H1021" s="49"/>
      <c r="I1021" s="49"/>
      <c r="J1021" s="49"/>
      <c r="K1021" s="49"/>
      <c r="L1021" s="49"/>
      <c r="M1021" s="49"/>
      <c r="N1021" s="49"/>
      <c r="O1021" s="49"/>
      <c r="P1021" s="49"/>
      <c r="Q1021" s="49"/>
      <c r="R1021" s="49"/>
      <c r="S1021" s="49"/>
      <c r="T1021" s="49"/>
      <c r="U1021" s="49"/>
      <c r="V1021" s="49"/>
      <c r="W1021" s="49"/>
      <c r="X1021" s="49"/>
      <c r="Y1021" s="49"/>
      <c r="Z1021" s="49"/>
      <c r="AA1021" s="49"/>
    </row>
    <row r="1022">
      <c r="A1022" s="49"/>
      <c r="B1022" s="49"/>
      <c r="C1022" s="49"/>
      <c r="D1022" s="49"/>
      <c r="E1022" s="49"/>
      <c r="F1022" s="49"/>
      <c r="G1022" s="49"/>
      <c r="H1022" s="49"/>
      <c r="I1022" s="49"/>
      <c r="J1022" s="49"/>
      <c r="K1022" s="49"/>
      <c r="L1022" s="49"/>
      <c r="M1022" s="49"/>
      <c r="N1022" s="49"/>
      <c r="O1022" s="49"/>
      <c r="P1022" s="49"/>
      <c r="Q1022" s="49"/>
      <c r="R1022" s="49"/>
      <c r="S1022" s="49"/>
      <c r="T1022" s="49"/>
      <c r="U1022" s="49"/>
      <c r="V1022" s="49"/>
      <c r="W1022" s="49"/>
      <c r="X1022" s="49"/>
      <c r="Y1022" s="49"/>
      <c r="Z1022" s="49"/>
      <c r="AA1022" s="49"/>
    </row>
    <row r="1023">
      <c r="A1023" s="49"/>
      <c r="B1023" s="49"/>
      <c r="C1023" s="49"/>
      <c r="D1023" s="49"/>
      <c r="E1023" s="49"/>
      <c r="F1023" s="49"/>
      <c r="G1023" s="49"/>
      <c r="H1023" s="49"/>
      <c r="I1023" s="49"/>
      <c r="J1023" s="49"/>
      <c r="K1023" s="49"/>
      <c r="L1023" s="49"/>
      <c r="M1023" s="49"/>
      <c r="N1023" s="49"/>
      <c r="O1023" s="49"/>
      <c r="P1023" s="49"/>
      <c r="Q1023" s="49"/>
      <c r="R1023" s="49"/>
      <c r="S1023" s="49"/>
      <c r="T1023" s="49"/>
      <c r="U1023" s="49"/>
      <c r="V1023" s="49"/>
      <c r="W1023" s="49"/>
      <c r="X1023" s="49"/>
      <c r="Y1023" s="49"/>
      <c r="Z1023" s="49"/>
      <c r="AA1023" s="49"/>
    </row>
    <row r="1024">
      <c r="A1024" s="49"/>
      <c r="B1024" s="49"/>
      <c r="C1024" s="49"/>
      <c r="D1024" s="49"/>
      <c r="E1024" s="49"/>
      <c r="F1024" s="49"/>
      <c r="G1024" s="49"/>
      <c r="H1024" s="49"/>
      <c r="I1024" s="49"/>
      <c r="J1024" s="49"/>
      <c r="K1024" s="49"/>
      <c r="L1024" s="49"/>
      <c r="M1024" s="49"/>
      <c r="N1024" s="49"/>
      <c r="O1024" s="49"/>
      <c r="P1024" s="49"/>
      <c r="Q1024" s="49"/>
      <c r="R1024" s="49"/>
      <c r="S1024" s="49"/>
      <c r="T1024" s="49"/>
      <c r="U1024" s="49"/>
      <c r="V1024" s="49"/>
      <c r="W1024" s="49"/>
      <c r="X1024" s="49"/>
      <c r="Y1024" s="49"/>
      <c r="Z1024" s="49"/>
      <c r="AA1024" s="49"/>
    </row>
    <row r="1025">
      <c r="A1025" s="49"/>
      <c r="B1025" s="49"/>
      <c r="C1025" s="49"/>
      <c r="D1025" s="49"/>
      <c r="E1025" s="49"/>
      <c r="F1025" s="49"/>
      <c r="G1025" s="49"/>
      <c r="H1025" s="49"/>
      <c r="I1025" s="49"/>
      <c r="J1025" s="49"/>
      <c r="K1025" s="49"/>
      <c r="L1025" s="49"/>
      <c r="M1025" s="49"/>
      <c r="N1025" s="49"/>
      <c r="O1025" s="49"/>
      <c r="P1025" s="49"/>
      <c r="Q1025" s="49"/>
      <c r="R1025" s="49"/>
      <c r="S1025" s="49"/>
      <c r="T1025" s="49"/>
      <c r="U1025" s="49"/>
      <c r="V1025" s="49"/>
      <c r="W1025" s="49"/>
      <c r="X1025" s="49"/>
      <c r="Y1025" s="49"/>
      <c r="Z1025" s="49"/>
      <c r="AA1025" s="49"/>
    </row>
    <row r="1026">
      <c r="A1026" s="49"/>
      <c r="B1026" s="49"/>
      <c r="C1026" s="49"/>
      <c r="D1026" s="49"/>
      <c r="E1026" s="49"/>
      <c r="F1026" s="49"/>
      <c r="G1026" s="49"/>
      <c r="H1026" s="49"/>
      <c r="I1026" s="49"/>
      <c r="J1026" s="49"/>
      <c r="K1026" s="49"/>
      <c r="L1026" s="49"/>
      <c r="M1026" s="49"/>
      <c r="N1026" s="49"/>
      <c r="O1026" s="49"/>
      <c r="P1026" s="49"/>
      <c r="Q1026" s="49"/>
      <c r="R1026" s="49"/>
      <c r="S1026" s="49"/>
      <c r="T1026" s="49"/>
      <c r="U1026" s="49"/>
      <c r="V1026" s="49"/>
      <c r="W1026" s="49"/>
      <c r="X1026" s="49"/>
      <c r="Y1026" s="49"/>
      <c r="Z1026" s="49"/>
      <c r="AA1026" s="49"/>
    </row>
    <row r="1027">
      <c r="A1027" s="49"/>
      <c r="B1027" s="49"/>
      <c r="C1027" s="49"/>
      <c r="D1027" s="49"/>
      <c r="E1027" s="49"/>
      <c r="F1027" s="49"/>
      <c r="G1027" s="49"/>
      <c r="H1027" s="49"/>
      <c r="I1027" s="49"/>
      <c r="J1027" s="49"/>
      <c r="K1027" s="49"/>
      <c r="L1027" s="49"/>
      <c r="M1027" s="49"/>
      <c r="N1027" s="49"/>
      <c r="O1027" s="49"/>
      <c r="P1027" s="49"/>
      <c r="Q1027" s="49"/>
      <c r="R1027" s="49"/>
      <c r="S1027" s="49"/>
      <c r="T1027" s="49"/>
      <c r="U1027" s="49"/>
      <c r="V1027" s="49"/>
      <c r="W1027" s="49"/>
      <c r="X1027" s="49"/>
      <c r="Y1027" s="49"/>
      <c r="Z1027" s="49"/>
      <c r="AA1027" s="49"/>
    </row>
    <row r="1028">
      <c r="A1028" s="49"/>
      <c r="B1028" s="49"/>
      <c r="C1028" s="49"/>
      <c r="D1028" s="49"/>
      <c r="E1028" s="49"/>
      <c r="F1028" s="49"/>
      <c r="G1028" s="49"/>
      <c r="H1028" s="49"/>
      <c r="I1028" s="49"/>
      <c r="J1028" s="49"/>
      <c r="K1028" s="49"/>
      <c r="L1028" s="49"/>
      <c r="M1028" s="49"/>
      <c r="N1028" s="49"/>
      <c r="O1028" s="49"/>
      <c r="P1028" s="49"/>
      <c r="Q1028" s="49"/>
      <c r="R1028" s="49"/>
      <c r="S1028" s="49"/>
      <c r="T1028" s="49"/>
      <c r="U1028" s="49"/>
      <c r="V1028" s="49"/>
      <c r="W1028" s="49"/>
      <c r="X1028" s="49"/>
      <c r="Y1028" s="49"/>
      <c r="Z1028" s="49"/>
      <c r="AA1028" s="49"/>
    </row>
    <row r="1029">
      <c r="A1029" s="49"/>
      <c r="B1029" s="49"/>
      <c r="C1029" s="49"/>
      <c r="D1029" s="49"/>
      <c r="E1029" s="49"/>
      <c r="F1029" s="49"/>
      <c r="G1029" s="49"/>
      <c r="H1029" s="49"/>
      <c r="I1029" s="49"/>
      <c r="J1029" s="49"/>
      <c r="K1029" s="49"/>
      <c r="L1029" s="49"/>
      <c r="M1029" s="49"/>
      <c r="N1029" s="49"/>
      <c r="O1029" s="49"/>
      <c r="P1029" s="49"/>
      <c r="Q1029" s="49"/>
      <c r="R1029" s="49"/>
      <c r="S1029" s="49"/>
      <c r="T1029" s="49"/>
      <c r="U1029" s="49"/>
      <c r="V1029" s="49"/>
      <c r="W1029" s="49"/>
      <c r="X1029" s="49"/>
      <c r="Y1029" s="49"/>
      <c r="Z1029" s="49"/>
      <c r="AA1029" s="49"/>
    </row>
    <row r="1030">
      <c r="A1030" s="49"/>
      <c r="B1030" s="49"/>
      <c r="C1030" s="49"/>
      <c r="D1030" s="49"/>
      <c r="E1030" s="49"/>
      <c r="F1030" s="49"/>
      <c r="G1030" s="49"/>
      <c r="H1030" s="49"/>
      <c r="I1030" s="49"/>
      <c r="J1030" s="49"/>
      <c r="K1030" s="49"/>
      <c r="L1030" s="49"/>
      <c r="M1030" s="49"/>
      <c r="N1030" s="49"/>
      <c r="O1030" s="49"/>
      <c r="P1030" s="49"/>
      <c r="Q1030" s="49"/>
      <c r="R1030" s="49"/>
      <c r="S1030" s="49"/>
      <c r="T1030" s="49"/>
      <c r="U1030" s="49"/>
      <c r="V1030" s="49"/>
      <c r="W1030" s="49"/>
      <c r="X1030" s="49"/>
      <c r="Y1030" s="49"/>
      <c r="Z1030" s="49"/>
      <c r="AA1030" s="49"/>
    </row>
    <row r="1031">
      <c r="A1031" s="49"/>
      <c r="B1031" s="49"/>
      <c r="C1031" s="49"/>
      <c r="D1031" s="49"/>
      <c r="E1031" s="49"/>
      <c r="F1031" s="49"/>
      <c r="G1031" s="49"/>
      <c r="H1031" s="49"/>
      <c r="I1031" s="49"/>
      <c r="J1031" s="49"/>
      <c r="K1031" s="49"/>
      <c r="L1031" s="49"/>
      <c r="M1031" s="49"/>
      <c r="N1031" s="49"/>
      <c r="O1031" s="49"/>
      <c r="P1031" s="49"/>
      <c r="Q1031" s="49"/>
      <c r="R1031" s="49"/>
      <c r="S1031" s="49"/>
      <c r="T1031" s="49"/>
      <c r="U1031" s="49"/>
      <c r="V1031" s="49"/>
      <c r="W1031" s="49"/>
      <c r="X1031" s="49"/>
      <c r="Y1031" s="49"/>
      <c r="Z1031" s="49"/>
      <c r="AA1031" s="49"/>
    </row>
    <row r="1032">
      <c r="A1032" s="49"/>
      <c r="B1032" s="49"/>
      <c r="C1032" s="49"/>
      <c r="D1032" s="49"/>
      <c r="E1032" s="49"/>
      <c r="F1032" s="49"/>
      <c r="G1032" s="49"/>
      <c r="H1032" s="49"/>
      <c r="I1032" s="49"/>
      <c r="J1032" s="49"/>
      <c r="K1032" s="49"/>
      <c r="L1032" s="49"/>
      <c r="M1032" s="49"/>
      <c r="N1032" s="49"/>
      <c r="O1032" s="49"/>
      <c r="P1032" s="49"/>
      <c r="Q1032" s="49"/>
      <c r="R1032" s="49"/>
      <c r="S1032" s="49"/>
      <c r="T1032" s="49"/>
      <c r="U1032" s="49"/>
      <c r="V1032" s="49"/>
      <c r="W1032" s="49"/>
      <c r="X1032" s="49"/>
      <c r="Y1032" s="49"/>
      <c r="Z1032" s="49"/>
      <c r="AA1032" s="49"/>
    </row>
    <row r="1033">
      <c r="A1033" s="49"/>
      <c r="B1033" s="49"/>
      <c r="C1033" s="49"/>
      <c r="D1033" s="49"/>
      <c r="E1033" s="49"/>
      <c r="F1033" s="49"/>
      <c r="G1033" s="49"/>
      <c r="H1033" s="49"/>
      <c r="I1033" s="49"/>
      <c r="J1033" s="49"/>
      <c r="K1033" s="49"/>
      <c r="L1033" s="49"/>
      <c r="M1033" s="49"/>
      <c r="N1033" s="49"/>
      <c r="O1033" s="49"/>
      <c r="P1033" s="49"/>
      <c r="Q1033" s="49"/>
      <c r="R1033" s="49"/>
      <c r="S1033" s="49"/>
      <c r="T1033" s="49"/>
      <c r="U1033" s="49"/>
      <c r="V1033" s="49"/>
      <c r="W1033" s="49"/>
      <c r="X1033" s="49"/>
      <c r="Y1033" s="49"/>
      <c r="Z1033" s="49"/>
      <c r="AA1033" s="49"/>
    </row>
    <row r="1034">
      <c r="A1034" s="49"/>
      <c r="B1034" s="49"/>
      <c r="C1034" s="49"/>
      <c r="D1034" s="49"/>
      <c r="E1034" s="49"/>
      <c r="F1034" s="49"/>
      <c r="G1034" s="49"/>
      <c r="H1034" s="49"/>
      <c r="I1034" s="49"/>
      <c r="J1034" s="49"/>
      <c r="K1034" s="49"/>
      <c r="L1034" s="49"/>
      <c r="M1034" s="49"/>
      <c r="N1034" s="49"/>
      <c r="O1034" s="49"/>
      <c r="P1034" s="49"/>
      <c r="Q1034" s="49"/>
      <c r="R1034" s="49"/>
      <c r="S1034" s="49"/>
      <c r="T1034" s="49"/>
      <c r="U1034" s="49"/>
      <c r="V1034" s="49"/>
      <c r="W1034" s="49"/>
      <c r="X1034" s="49"/>
      <c r="Y1034" s="49"/>
      <c r="Z1034" s="49"/>
      <c r="AA1034" s="49"/>
    </row>
    <row r="1035">
      <c r="A1035" s="49"/>
      <c r="B1035" s="49"/>
      <c r="C1035" s="49"/>
      <c r="D1035" s="49"/>
      <c r="E1035" s="49"/>
      <c r="F1035" s="49"/>
      <c r="G1035" s="49"/>
      <c r="H1035" s="49"/>
      <c r="I1035" s="49"/>
      <c r="J1035" s="49"/>
      <c r="K1035" s="49"/>
      <c r="L1035" s="49"/>
      <c r="M1035" s="49"/>
      <c r="N1035" s="49"/>
      <c r="O1035" s="49"/>
      <c r="P1035" s="49"/>
      <c r="Q1035" s="49"/>
      <c r="R1035" s="49"/>
      <c r="S1035" s="49"/>
      <c r="T1035" s="49"/>
      <c r="U1035" s="49"/>
      <c r="V1035" s="49"/>
      <c r="W1035" s="49"/>
      <c r="X1035" s="49"/>
      <c r="Y1035" s="49"/>
      <c r="Z1035" s="49"/>
      <c r="AA1035" s="49"/>
    </row>
    <row r="1036">
      <c r="A1036" s="49"/>
      <c r="B1036" s="49"/>
      <c r="C1036" s="49"/>
      <c r="D1036" s="49"/>
      <c r="E1036" s="49"/>
      <c r="F1036" s="49"/>
      <c r="G1036" s="49"/>
      <c r="H1036" s="49"/>
      <c r="I1036" s="49"/>
      <c r="J1036" s="49"/>
      <c r="K1036" s="49"/>
      <c r="L1036" s="49"/>
      <c r="M1036" s="49"/>
      <c r="N1036" s="49"/>
      <c r="O1036" s="49"/>
      <c r="P1036" s="49"/>
      <c r="Q1036" s="49"/>
      <c r="R1036" s="49"/>
      <c r="S1036" s="49"/>
      <c r="T1036" s="49"/>
      <c r="U1036" s="49"/>
      <c r="V1036" s="49"/>
      <c r="W1036" s="49"/>
      <c r="X1036" s="49"/>
      <c r="Y1036" s="49"/>
      <c r="Z1036" s="49"/>
      <c r="AA1036" s="49"/>
    </row>
    <row r="1037">
      <c r="A1037" s="49"/>
      <c r="B1037" s="49"/>
      <c r="C1037" s="49"/>
      <c r="D1037" s="49"/>
      <c r="E1037" s="49"/>
      <c r="F1037" s="49"/>
      <c r="G1037" s="49"/>
      <c r="H1037" s="49"/>
      <c r="I1037" s="49"/>
      <c r="J1037" s="49"/>
      <c r="K1037" s="49"/>
      <c r="L1037" s="49"/>
      <c r="M1037" s="49"/>
      <c r="N1037" s="49"/>
      <c r="O1037" s="49"/>
      <c r="P1037" s="49"/>
      <c r="Q1037" s="49"/>
      <c r="R1037" s="49"/>
      <c r="S1037" s="49"/>
      <c r="T1037" s="49"/>
      <c r="U1037" s="49"/>
      <c r="V1037" s="49"/>
      <c r="W1037" s="49"/>
      <c r="X1037" s="49"/>
      <c r="Y1037" s="49"/>
      <c r="Z1037" s="49"/>
      <c r="AA1037" s="49"/>
    </row>
  </sheetData>
  <mergeCells count="20">
    <mergeCell ref="A4:D4"/>
    <mergeCell ref="K7:N7"/>
    <mergeCell ref="F19:I19"/>
    <mergeCell ref="M20:N20"/>
    <mergeCell ref="E55:E56"/>
    <mergeCell ref="F55:F56"/>
    <mergeCell ref="I55:I56"/>
    <mergeCell ref="E59:E60"/>
    <mergeCell ref="F59:F60"/>
    <mergeCell ref="I59:I60"/>
    <mergeCell ref="J59:J60"/>
    <mergeCell ref="K59:K60"/>
    <mergeCell ref="E61:E62"/>
    <mergeCell ref="J55:J56"/>
    <mergeCell ref="K55:K56"/>
    <mergeCell ref="E57:E58"/>
    <mergeCell ref="F57:F58"/>
    <mergeCell ref="I57:I58"/>
    <mergeCell ref="J57:J58"/>
    <mergeCell ref="K57:K58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0" width="9.13"/>
    <col customWidth="1" min="11" max="11" width="28.38"/>
  </cols>
  <sheetData>
    <row r="1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</row>
    <row r="2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</row>
    <row r="3">
      <c r="A3" s="49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</row>
    <row r="4">
      <c r="A4" s="50"/>
      <c r="E4" s="49"/>
      <c r="F4" s="51"/>
      <c r="G4" s="51"/>
      <c r="H4" s="51"/>
      <c r="I4" s="50"/>
      <c r="J4" s="50"/>
      <c r="K4" s="50"/>
      <c r="L4" s="50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</row>
    <row r="5">
      <c r="A5" s="50"/>
      <c r="B5" s="50"/>
      <c r="C5" s="50"/>
      <c r="D5" s="50"/>
      <c r="E5" s="49"/>
      <c r="F5" s="51"/>
      <c r="G5" s="51"/>
      <c r="H5" s="49"/>
      <c r="I5" s="50"/>
      <c r="J5" s="50"/>
      <c r="K5" s="50"/>
      <c r="L5" s="50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</row>
    <row r="6">
      <c r="A6" s="50"/>
      <c r="B6" s="50"/>
      <c r="C6" s="50"/>
      <c r="D6" s="50"/>
      <c r="E6" s="49"/>
      <c r="F6" s="22"/>
      <c r="G6" s="4"/>
      <c r="H6" s="49"/>
      <c r="I6" s="50"/>
      <c r="J6" s="50"/>
      <c r="K6" s="50"/>
      <c r="L6" s="50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</row>
    <row r="7">
      <c r="A7" s="50"/>
      <c r="B7" s="50"/>
      <c r="C7" s="50"/>
      <c r="D7" s="50"/>
      <c r="E7" s="49"/>
      <c r="F7" s="22"/>
      <c r="G7" s="4"/>
      <c r="H7" s="49"/>
      <c r="I7" s="50"/>
      <c r="J7" s="50"/>
      <c r="K7" s="52" t="s">
        <v>63</v>
      </c>
      <c r="L7" s="53"/>
      <c r="M7" s="53"/>
      <c r="N7" s="54"/>
      <c r="O7" s="49"/>
      <c r="P7" s="51" t="s">
        <v>124</v>
      </c>
      <c r="Q7" s="51">
        <v>247.0</v>
      </c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</row>
    <row r="8">
      <c r="A8" s="50"/>
      <c r="B8" s="50"/>
      <c r="C8" s="50"/>
      <c r="D8" s="50"/>
      <c r="E8" s="49"/>
      <c r="F8" s="22"/>
      <c r="G8" s="4"/>
      <c r="H8" s="49"/>
      <c r="I8" s="50"/>
      <c r="J8" s="22"/>
      <c r="K8" s="55" t="s">
        <v>65</v>
      </c>
      <c r="L8" s="55" t="s">
        <v>66</v>
      </c>
      <c r="M8" s="9" t="s">
        <v>67</v>
      </c>
      <c r="N8" s="9" t="s">
        <v>68</v>
      </c>
      <c r="O8" s="49"/>
      <c r="P8" s="51" t="s">
        <v>125</v>
      </c>
      <c r="Q8" s="51">
        <v>162.0</v>
      </c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</row>
    <row r="9">
      <c r="A9" s="50"/>
      <c r="B9" s="50"/>
      <c r="C9" s="50"/>
      <c r="D9" s="50"/>
      <c r="E9" s="49"/>
      <c r="F9" s="22"/>
      <c r="G9" s="56"/>
      <c r="H9" s="49"/>
      <c r="I9" s="50"/>
      <c r="J9" s="22"/>
      <c r="K9" s="120" t="s">
        <v>70</v>
      </c>
      <c r="L9" s="120"/>
      <c r="M9" s="121"/>
      <c r="N9" s="121"/>
      <c r="O9" s="49"/>
      <c r="P9" s="51" t="s">
        <v>126</v>
      </c>
      <c r="Q9" s="51">
        <v>185.0</v>
      </c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</row>
    <row r="10">
      <c r="A10" s="22"/>
      <c r="B10" s="61"/>
      <c r="C10" s="50"/>
      <c r="D10" s="50"/>
      <c r="E10" s="49"/>
      <c r="F10" s="22"/>
      <c r="G10" s="4"/>
      <c r="H10" s="49"/>
      <c r="I10" s="50"/>
      <c r="J10" s="22"/>
      <c r="K10" s="122" t="s">
        <v>71</v>
      </c>
      <c r="L10" s="122">
        <v>3500.0</v>
      </c>
      <c r="M10" s="83"/>
      <c r="N10" s="83"/>
      <c r="O10" s="49"/>
      <c r="P10" s="51" t="s">
        <v>127</v>
      </c>
      <c r="Q10" s="51">
        <v>2887.0</v>
      </c>
      <c r="R10" s="50" t="s">
        <v>128</v>
      </c>
      <c r="S10" s="49"/>
      <c r="T10" s="49"/>
      <c r="U10" s="49"/>
      <c r="V10" s="49"/>
      <c r="W10" s="49"/>
      <c r="X10" s="49"/>
      <c r="Y10" s="49"/>
      <c r="Z10" s="49"/>
      <c r="AA10" s="49"/>
      <c r="AB10" s="49"/>
    </row>
    <row r="11">
      <c r="A11" s="22"/>
      <c r="B11" s="61"/>
      <c r="C11" s="50"/>
      <c r="D11" s="62"/>
      <c r="E11" s="49"/>
      <c r="F11" s="62"/>
      <c r="G11" s="51"/>
      <c r="H11" s="49"/>
      <c r="I11" s="50"/>
      <c r="J11" s="50"/>
      <c r="K11" s="122" t="s">
        <v>72</v>
      </c>
      <c r="L11" s="123">
        <v>13000.0</v>
      </c>
      <c r="M11" s="83"/>
      <c r="N11" s="83"/>
      <c r="O11" s="49"/>
      <c r="P11" s="51" t="s">
        <v>129</v>
      </c>
      <c r="Q11" s="51">
        <v>232.0</v>
      </c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</row>
    <row r="12">
      <c r="A12" s="22"/>
      <c r="B12" s="61"/>
      <c r="C12" s="50"/>
      <c r="D12" s="50"/>
      <c r="E12" s="49"/>
      <c r="F12" s="49"/>
      <c r="G12" s="49"/>
      <c r="H12" s="49"/>
      <c r="I12" s="50"/>
      <c r="J12" s="50"/>
      <c r="K12" s="122" t="s">
        <v>73</v>
      </c>
      <c r="L12" s="123">
        <v>2000.0</v>
      </c>
      <c r="M12" s="122"/>
      <c r="N12" s="83"/>
      <c r="O12" s="49"/>
      <c r="P12" s="51" t="s">
        <v>130</v>
      </c>
      <c r="Q12" s="51">
        <v>89.0</v>
      </c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</row>
    <row r="13">
      <c r="A13" s="22"/>
      <c r="B13" s="61"/>
      <c r="C13" s="50"/>
      <c r="D13" s="62"/>
      <c r="E13" s="49"/>
      <c r="F13" s="49"/>
      <c r="G13" s="49"/>
      <c r="H13" s="49"/>
      <c r="I13" s="50"/>
      <c r="J13" s="50"/>
      <c r="K13" s="122" t="s">
        <v>74</v>
      </c>
      <c r="L13" s="122">
        <v>1051.0</v>
      </c>
      <c r="M13" s="83"/>
      <c r="N13" s="83"/>
      <c r="O13" s="49"/>
      <c r="P13" s="51" t="s">
        <v>131</v>
      </c>
      <c r="Q13" s="51">
        <v>657.0</v>
      </c>
      <c r="R13" s="49"/>
      <c r="S13" s="49"/>
      <c r="T13" s="49"/>
      <c r="U13" s="49"/>
      <c r="V13" s="49"/>
      <c r="W13" s="49"/>
      <c r="X13" s="49"/>
      <c r="Y13" s="49"/>
      <c r="Z13" s="49"/>
      <c r="AA13" s="49"/>
      <c r="AB13" s="49"/>
    </row>
    <row r="14">
      <c r="A14" s="22"/>
      <c r="B14" s="61"/>
      <c r="C14" s="62"/>
      <c r="D14" s="22"/>
      <c r="E14" s="49"/>
      <c r="F14" s="49"/>
      <c r="G14" s="49"/>
      <c r="H14" s="49"/>
      <c r="I14" s="50"/>
      <c r="J14" s="50"/>
      <c r="K14" s="122" t="s">
        <v>75</v>
      </c>
      <c r="L14" s="122">
        <v>3000.0</v>
      </c>
      <c r="M14" s="83"/>
      <c r="N14" s="83"/>
      <c r="O14" s="49"/>
      <c r="P14" s="51" t="s">
        <v>132</v>
      </c>
      <c r="Q14" s="51">
        <v>89.0</v>
      </c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</row>
    <row r="15">
      <c r="A15" s="22"/>
      <c r="B15" s="61"/>
      <c r="C15" s="62"/>
      <c r="D15" s="22"/>
      <c r="E15" s="49"/>
      <c r="F15" s="49"/>
      <c r="G15" s="49"/>
      <c r="H15" s="49"/>
      <c r="I15" s="50"/>
      <c r="J15" s="50"/>
      <c r="K15" s="60" t="s">
        <v>76</v>
      </c>
      <c r="L15" s="60"/>
      <c r="M15" s="59"/>
      <c r="N15" s="66"/>
      <c r="O15" s="49"/>
      <c r="P15" s="51" t="s">
        <v>133</v>
      </c>
      <c r="Q15" s="51">
        <v>1254.0</v>
      </c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</row>
    <row r="16">
      <c r="A16" s="22"/>
      <c r="B16" s="61"/>
      <c r="C16" s="62"/>
      <c r="D16" s="22"/>
      <c r="E16" s="49"/>
      <c r="F16" s="49"/>
      <c r="G16" s="49"/>
      <c r="H16" s="49"/>
      <c r="I16" s="50"/>
      <c r="J16" s="50"/>
      <c r="K16" s="123" t="s">
        <v>134</v>
      </c>
      <c r="L16" s="123">
        <v>2000.0</v>
      </c>
      <c r="M16" s="83"/>
      <c r="N16" s="83"/>
      <c r="O16" s="49"/>
      <c r="P16" s="51" t="s">
        <v>135</v>
      </c>
      <c r="Q16" s="51">
        <v>3400.0</v>
      </c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</row>
    <row r="17">
      <c r="A17" s="22"/>
      <c r="B17" s="61"/>
      <c r="C17" s="62"/>
      <c r="D17" s="22"/>
      <c r="E17" s="49"/>
      <c r="F17" s="49"/>
      <c r="G17" s="49"/>
      <c r="H17" s="49"/>
      <c r="I17" s="50"/>
      <c r="J17" s="50"/>
      <c r="K17" s="9" t="s">
        <v>77</v>
      </c>
      <c r="L17" s="124"/>
      <c r="M17" s="83"/>
      <c r="N17" s="83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</row>
    <row r="18">
      <c r="A18" s="22"/>
      <c r="B18" s="61"/>
      <c r="C18" s="62"/>
      <c r="D18" s="62"/>
      <c r="E18" s="49"/>
      <c r="F18" s="49"/>
      <c r="G18" s="49"/>
      <c r="H18" s="49"/>
      <c r="I18" s="49"/>
      <c r="J18" s="49"/>
      <c r="K18" s="9" t="s">
        <v>78</v>
      </c>
      <c r="L18" s="125"/>
      <c r="M18" s="83"/>
      <c r="N18" s="83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</row>
    <row r="19">
      <c r="A19" s="68"/>
      <c r="B19" s="68"/>
      <c r="C19" s="68"/>
      <c r="D19" s="68"/>
      <c r="E19" s="49"/>
      <c r="F19" s="126" t="s">
        <v>136</v>
      </c>
      <c r="G19" s="53"/>
      <c r="H19" s="53"/>
      <c r="I19" s="54"/>
      <c r="J19" s="49"/>
      <c r="K19" s="9" t="s">
        <v>80</v>
      </c>
      <c r="L19" s="124"/>
      <c r="M19" s="83"/>
      <c r="N19" s="83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</row>
    <row r="20">
      <c r="A20" s="68"/>
      <c r="B20" s="68"/>
      <c r="C20" s="68"/>
      <c r="D20" s="68"/>
      <c r="E20" s="49"/>
      <c r="F20" s="127"/>
      <c r="G20" s="53"/>
      <c r="H20" s="53"/>
      <c r="I20" s="54"/>
      <c r="J20" s="49"/>
      <c r="K20" s="92" t="s">
        <v>82</v>
      </c>
      <c r="L20" s="124"/>
      <c r="M20" s="128"/>
      <c r="N20" s="54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</row>
    <row r="21">
      <c r="A21" s="68"/>
      <c r="B21" s="68"/>
      <c r="C21" s="68"/>
      <c r="D21" s="68"/>
      <c r="E21" s="49"/>
      <c r="F21" s="74" t="s">
        <v>83</v>
      </c>
      <c r="G21" s="129">
        <v>46062.0</v>
      </c>
      <c r="H21" s="130">
        <v>10.0</v>
      </c>
      <c r="I21" s="130">
        <v>4075.0</v>
      </c>
      <c r="J21" s="49"/>
      <c r="K21" s="92" t="s">
        <v>137</v>
      </c>
      <c r="L21" s="124"/>
      <c r="M21" s="131"/>
      <c r="N21" s="131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</row>
    <row r="22">
      <c r="A22" s="68"/>
      <c r="B22" s="68"/>
      <c r="C22" s="68"/>
      <c r="D22" s="68"/>
      <c r="E22" s="49"/>
      <c r="F22" s="74" t="s">
        <v>83</v>
      </c>
      <c r="G22" s="132">
        <v>46069.0</v>
      </c>
      <c r="H22" s="123">
        <v>6.0</v>
      </c>
      <c r="I22" s="133">
        <v>11400.0</v>
      </c>
      <c r="J22" s="49"/>
      <c r="K22" s="131"/>
      <c r="L22" s="92">
        <v>10000.0</v>
      </c>
      <c r="M22" s="131"/>
      <c r="N22" s="131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</row>
    <row r="23">
      <c r="A23" s="68"/>
      <c r="B23" s="68"/>
      <c r="C23" s="68"/>
      <c r="D23" s="68"/>
      <c r="E23" s="49"/>
      <c r="F23" s="74" t="s">
        <v>83</v>
      </c>
      <c r="G23" s="132">
        <v>46076.0</v>
      </c>
      <c r="H23" s="123">
        <v>16.0</v>
      </c>
      <c r="I23" s="134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</row>
    <row r="24">
      <c r="A24" s="68"/>
      <c r="B24" s="68"/>
      <c r="C24" s="68"/>
      <c r="D24" s="68"/>
      <c r="E24" s="49"/>
      <c r="F24" s="74" t="s">
        <v>83</v>
      </c>
      <c r="G24" s="132">
        <v>46083.0</v>
      </c>
      <c r="H24" s="123">
        <v>14.0</v>
      </c>
      <c r="I24" s="98"/>
      <c r="J24" s="49"/>
      <c r="K24" s="49"/>
      <c r="L24" s="49">
        <f>SUM(L10:L22)</f>
        <v>34551</v>
      </c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</row>
    <row r="25">
      <c r="A25" s="68"/>
      <c r="B25" s="68"/>
      <c r="C25" s="68"/>
      <c r="D25" s="68"/>
      <c r="E25" s="49"/>
      <c r="F25" s="80" t="s">
        <v>88</v>
      </c>
      <c r="G25" s="132">
        <v>46083.0</v>
      </c>
      <c r="H25" s="123">
        <v>60.0</v>
      </c>
      <c r="I25" s="125">
        <v>11600.0</v>
      </c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</row>
    <row r="26">
      <c r="A26" s="68"/>
      <c r="B26" s="68"/>
      <c r="C26" s="68"/>
      <c r="D26" s="68"/>
      <c r="E26" s="51">
        <v>200000.0</v>
      </c>
      <c r="F26" s="80" t="s">
        <v>88</v>
      </c>
      <c r="G26" s="132">
        <v>46087.0</v>
      </c>
      <c r="H26" s="123"/>
      <c r="I26" s="123">
        <f>SUM(K39:K69)</f>
        <v>16615</v>
      </c>
      <c r="J26" s="51">
        <v>7500.0</v>
      </c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</row>
    <row r="27">
      <c r="A27" s="68"/>
      <c r="B27" s="68"/>
      <c r="C27" s="68"/>
      <c r="D27" s="68"/>
      <c r="E27" s="49"/>
      <c r="F27" s="135" t="s">
        <v>138</v>
      </c>
      <c r="G27" s="136">
        <v>46080.0</v>
      </c>
      <c r="H27" s="135" t="s">
        <v>139</v>
      </c>
      <c r="I27" s="135">
        <v>2800.0</v>
      </c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</row>
    <row r="28">
      <c r="A28" s="68"/>
      <c r="B28" s="68"/>
      <c r="C28" s="68"/>
      <c r="D28" s="68"/>
      <c r="E28" s="51" t="s">
        <v>140</v>
      </c>
      <c r="F28" s="137" t="s">
        <v>141</v>
      </c>
      <c r="G28" s="138"/>
      <c r="H28" s="83"/>
      <c r="I28" s="123">
        <v>2100.0</v>
      </c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</row>
    <row r="29">
      <c r="A29" s="68"/>
      <c r="B29" s="68"/>
      <c r="C29" s="68"/>
      <c r="D29" s="68"/>
      <c r="E29" s="49"/>
      <c r="F29" s="139"/>
      <c r="G29" s="138"/>
      <c r="H29" s="83"/>
      <c r="I29" s="140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</row>
    <row r="30">
      <c r="A30" s="68"/>
      <c r="B30" s="68"/>
      <c r="C30" s="68"/>
      <c r="D30" s="68"/>
      <c r="E30" s="49"/>
      <c r="F30" s="83"/>
      <c r="G30" s="138"/>
      <c r="H30" s="83"/>
      <c r="I30" s="83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</row>
    <row r="31">
      <c r="A31" s="68"/>
      <c r="B31" s="68"/>
      <c r="C31" s="68"/>
      <c r="D31" s="68"/>
      <c r="E31" s="49"/>
      <c r="F31" s="9"/>
      <c r="G31" s="83"/>
      <c r="H31" s="83"/>
      <c r="I31" s="83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</row>
    <row r="32">
      <c r="A32" s="68"/>
      <c r="B32" s="68"/>
      <c r="C32" s="68"/>
      <c r="D32" s="68"/>
      <c r="E32" s="49"/>
      <c r="F32" s="9"/>
      <c r="G32" s="9"/>
      <c r="H32" s="9"/>
      <c r="I32" s="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</row>
    <row r="33">
      <c r="A33" s="68"/>
      <c r="B33" s="68"/>
      <c r="C33" s="68"/>
      <c r="D33" s="68"/>
      <c r="E33" s="49"/>
      <c r="F33" s="9"/>
      <c r="G33" s="9"/>
      <c r="H33" s="9"/>
      <c r="I33" s="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</row>
    <row r="34">
      <c r="A34" s="68"/>
      <c r="B34" s="68"/>
      <c r="C34" s="68"/>
      <c r="D34" s="68"/>
      <c r="E34" s="49"/>
      <c r="F34" s="9"/>
      <c r="G34" s="9"/>
      <c r="H34" s="9"/>
      <c r="I34" s="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</row>
    <row r="35">
      <c r="A35" s="68"/>
      <c r="B35" s="68"/>
      <c r="C35" s="68"/>
      <c r="D35" s="68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</row>
    <row r="36">
      <c r="A36" s="49"/>
      <c r="B36" s="49"/>
      <c r="C36" s="49"/>
      <c r="D36" s="49"/>
      <c r="E36" s="49"/>
      <c r="F36" s="49"/>
      <c r="G36" s="49"/>
      <c r="H36" s="49"/>
      <c r="I36" s="49">
        <f>SUM(I20:I29)</f>
        <v>48590</v>
      </c>
      <c r="J36" s="49">
        <f>SUM(J6:J13)</f>
        <v>0</v>
      </c>
      <c r="K36" s="84">
        <v>48960.0</v>
      </c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</row>
    <row r="37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</row>
    <row r="38">
      <c r="A38" s="49"/>
      <c r="B38" s="49"/>
      <c r="C38" s="49"/>
      <c r="D38" s="49"/>
      <c r="E38" s="49"/>
      <c r="F38" s="141" t="s">
        <v>90</v>
      </c>
      <c r="G38" s="141" t="s">
        <v>91</v>
      </c>
      <c r="H38" s="141" t="s">
        <v>92</v>
      </c>
      <c r="I38" s="141" t="s">
        <v>93</v>
      </c>
      <c r="J38" s="141" t="s">
        <v>94</v>
      </c>
      <c r="K38" s="141" t="s">
        <v>95</v>
      </c>
      <c r="L38" s="141" t="s">
        <v>96</v>
      </c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</row>
    <row r="39">
      <c r="A39" s="49"/>
      <c r="B39" s="142"/>
      <c r="C39" s="49"/>
      <c r="D39" s="49"/>
      <c r="E39" s="143">
        <v>1.0</v>
      </c>
      <c r="F39" s="144">
        <v>46055.0</v>
      </c>
      <c r="G39" s="145" t="s">
        <v>98</v>
      </c>
      <c r="H39" s="145" t="s">
        <v>107</v>
      </c>
      <c r="I39" s="145">
        <v>1.5</v>
      </c>
      <c r="J39" s="146">
        <v>20522.87</v>
      </c>
      <c r="K39" s="147">
        <v>2052.0</v>
      </c>
      <c r="L39" s="148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</row>
    <row r="40">
      <c r="A40" s="49"/>
      <c r="B40" s="142"/>
      <c r="C40" s="49"/>
      <c r="D40" s="49"/>
      <c r="E40" s="143">
        <v>2.0</v>
      </c>
      <c r="F40" s="144">
        <v>46057.0</v>
      </c>
      <c r="G40" s="145" t="s">
        <v>98</v>
      </c>
      <c r="H40" s="145" t="s">
        <v>107</v>
      </c>
      <c r="I40" s="145">
        <v>1.5</v>
      </c>
      <c r="J40" s="149">
        <v>0.0</v>
      </c>
      <c r="K40" s="147">
        <v>0.0</v>
      </c>
      <c r="L40" s="148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</row>
    <row r="41">
      <c r="A41" s="49"/>
      <c r="B41" s="150" t="s">
        <v>97</v>
      </c>
      <c r="C41" s="49"/>
      <c r="D41" s="49"/>
      <c r="E41" s="143">
        <v>3.0</v>
      </c>
      <c r="F41" s="144">
        <v>46058.0</v>
      </c>
      <c r="G41" s="145" t="s">
        <v>98</v>
      </c>
      <c r="H41" s="145" t="s">
        <v>142</v>
      </c>
      <c r="I41" s="145">
        <v>3.5</v>
      </c>
      <c r="J41" s="149">
        <v>4471.0</v>
      </c>
      <c r="K41" s="147">
        <v>447.0</v>
      </c>
      <c r="L41" s="148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</row>
    <row r="42">
      <c r="A42" s="49"/>
      <c r="B42" s="9" t="s">
        <v>100</v>
      </c>
      <c r="C42" s="49"/>
      <c r="D42" s="49"/>
      <c r="E42" s="143">
        <v>4.0</v>
      </c>
      <c r="F42" s="144">
        <v>46059.0</v>
      </c>
      <c r="G42" s="145" t="s">
        <v>98</v>
      </c>
      <c r="H42" s="145" t="s">
        <v>105</v>
      </c>
      <c r="I42" s="145">
        <v>2.0</v>
      </c>
      <c r="J42" s="149">
        <v>2962.0</v>
      </c>
      <c r="K42" s="147">
        <v>0.0</v>
      </c>
      <c r="L42" s="148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</row>
    <row r="43">
      <c r="A43" s="49"/>
      <c r="B43" s="49"/>
      <c r="C43" s="49"/>
      <c r="D43" s="49"/>
      <c r="E43" s="143">
        <v>5.0</v>
      </c>
      <c r="F43" s="144">
        <v>46065.0</v>
      </c>
      <c r="G43" s="145" t="s">
        <v>98</v>
      </c>
      <c r="H43" s="145" t="s">
        <v>105</v>
      </c>
      <c r="I43" s="145">
        <v>2.0</v>
      </c>
      <c r="J43" s="146">
        <v>3797.0</v>
      </c>
      <c r="K43" s="147">
        <v>379.0</v>
      </c>
      <c r="L43" s="148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</row>
    <row r="44">
      <c r="A44" s="49"/>
      <c r="B44" s="49"/>
      <c r="C44" s="49"/>
      <c r="D44" s="49"/>
      <c r="E44" s="143">
        <v>6.0</v>
      </c>
      <c r="F44" s="144">
        <v>46066.0</v>
      </c>
      <c r="G44" s="145" t="s">
        <v>98</v>
      </c>
      <c r="H44" s="145" t="s">
        <v>105</v>
      </c>
      <c r="I44" s="145">
        <v>2.0</v>
      </c>
      <c r="J44" s="146">
        <v>11472.46</v>
      </c>
      <c r="K44" s="147">
        <v>1147.0</v>
      </c>
      <c r="L44" s="148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</row>
    <row r="45">
      <c r="A45" s="49"/>
      <c r="B45" s="49"/>
      <c r="C45" s="49"/>
      <c r="D45" s="49"/>
      <c r="E45" s="143">
        <v>7.0</v>
      </c>
      <c r="F45" s="144">
        <v>46066.0</v>
      </c>
      <c r="G45" s="145" t="s">
        <v>98</v>
      </c>
      <c r="H45" s="145" t="s">
        <v>106</v>
      </c>
      <c r="I45" s="145">
        <v>2.0</v>
      </c>
      <c r="J45" s="146">
        <v>6504.87</v>
      </c>
      <c r="K45" s="147">
        <v>650.0</v>
      </c>
      <c r="L45" s="148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</row>
    <row r="46">
      <c r="A46" s="49"/>
      <c r="B46" s="49"/>
      <c r="C46" s="49"/>
      <c r="D46" s="49"/>
      <c r="E46" s="143">
        <v>8.0</v>
      </c>
      <c r="F46" s="144">
        <v>46070.0</v>
      </c>
      <c r="G46" s="145" t="s">
        <v>98</v>
      </c>
      <c r="H46" s="145" t="s">
        <v>105</v>
      </c>
      <c r="I46" s="145">
        <v>1.5</v>
      </c>
      <c r="J46" s="147">
        <v>346.4</v>
      </c>
      <c r="K46" s="147">
        <v>0.0</v>
      </c>
      <c r="L46" s="147" t="s">
        <v>143</v>
      </c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</row>
    <row r="47">
      <c r="A47" s="49"/>
      <c r="B47" s="49"/>
      <c r="C47" s="49"/>
      <c r="D47" s="49"/>
      <c r="E47" s="143">
        <v>9.0</v>
      </c>
      <c r="F47" s="144">
        <v>46071.0</v>
      </c>
      <c r="G47" s="145" t="s">
        <v>98</v>
      </c>
      <c r="H47" s="145" t="s">
        <v>105</v>
      </c>
      <c r="I47" s="145">
        <v>2.0</v>
      </c>
      <c r="J47" s="146">
        <v>3623.4</v>
      </c>
      <c r="K47" s="147">
        <v>362.0</v>
      </c>
      <c r="L47" s="148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</row>
    <row r="48">
      <c r="A48" s="49"/>
      <c r="B48" s="49"/>
      <c r="C48" s="49"/>
      <c r="D48" s="49"/>
      <c r="E48" s="143">
        <v>10.0</v>
      </c>
      <c r="F48" s="144">
        <v>46072.0</v>
      </c>
      <c r="G48" s="145" t="s">
        <v>98</v>
      </c>
      <c r="H48" s="147" t="s">
        <v>100</v>
      </c>
      <c r="I48" s="145">
        <v>2.0</v>
      </c>
      <c r="J48" s="146">
        <v>5594.0</v>
      </c>
      <c r="K48" s="147">
        <v>559.0</v>
      </c>
      <c r="L48" s="148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</row>
    <row r="49">
      <c r="A49" s="49"/>
      <c r="B49" s="49"/>
      <c r="C49" s="49"/>
      <c r="D49" s="49"/>
      <c r="E49" s="143">
        <v>11.0</v>
      </c>
      <c r="F49" s="144">
        <v>46074.0</v>
      </c>
      <c r="G49" s="145" t="s">
        <v>98</v>
      </c>
      <c r="H49" s="145" t="s">
        <v>105</v>
      </c>
      <c r="I49" s="145">
        <v>1.5</v>
      </c>
      <c r="J49" s="149">
        <v>1804.0</v>
      </c>
      <c r="K49" s="147">
        <v>0.0</v>
      </c>
      <c r="L49" s="147" t="s">
        <v>144</v>
      </c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</row>
    <row r="50">
      <c r="A50" s="49"/>
      <c r="B50" s="49"/>
      <c r="C50" s="49"/>
      <c r="D50" s="49"/>
      <c r="E50" s="143">
        <v>12.0</v>
      </c>
      <c r="F50" s="144">
        <v>46075.0</v>
      </c>
      <c r="G50" s="145" t="s">
        <v>98</v>
      </c>
      <c r="H50" s="145" t="s">
        <v>145</v>
      </c>
      <c r="I50" s="145">
        <v>0.5</v>
      </c>
      <c r="J50" s="147">
        <v>0.0</v>
      </c>
      <c r="K50" s="147">
        <v>0.0</v>
      </c>
      <c r="L50" s="147" t="s">
        <v>146</v>
      </c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</row>
    <row r="51">
      <c r="A51" s="49"/>
      <c r="B51" s="49"/>
      <c r="C51" s="49"/>
      <c r="D51" s="49"/>
      <c r="E51" s="143">
        <v>13.0</v>
      </c>
      <c r="F51" s="144">
        <v>46076.0</v>
      </c>
      <c r="G51" s="145" t="s">
        <v>98</v>
      </c>
      <c r="H51" s="145" t="s">
        <v>147</v>
      </c>
      <c r="I51" s="145">
        <v>1.5</v>
      </c>
      <c r="J51" s="146">
        <v>17038.8</v>
      </c>
      <c r="K51" s="147">
        <v>1703.0</v>
      </c>
      <c r="L51" s="148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</row>
    <row r="52">
      <c r="A52" s="49"/>
      <c r="B52" s="49"/>
      <c r="C52" s="49"/>
      <c r="D52" s="49"/>
      <c r="E52" s="49"/>
      <c r="F52" s="113">
        <v>46078.0</v>
      </c>
      <c r="G52" s="151" t="s">
        <v>98</v>
      </c>
      <c r="H52" s="151" t="s">
        <v>105</v>
      </c>
      <c r="I52" s="151">
        <v>2.0</v>
      </c>
      <c r="J52" s="115">
        <v>8549.61</v>
      </c>
      <c r="K52" s="92">
        <v>854.0</v>
      </c>
      <c r="L52" s="131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</row>
    <row r="53">
      <c r="A53" s="49"/>
      <c r="B53" s="49"/>
      <c r="C53" s="49"/>
      <c r="D53" s="49"/>
      <c r="E53" s="49"/>
      <c r="F53" s="152">
        <v>46080.0</v>
      </c>
      <c r="G53" s="85" t="s">
        <v>98</v>
      </c>
      <c r="H53" s="85" t="s">
        <v>105</v>
      </c>
      <c r="I53" s="85">
        <v>2.0</v>
      </c>
      <c r="J53" s="131"/>
      <c r="K53" s="131"/>
      <c r="L53" s="131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</row>
    <row r="54">
      <c r="A54" s="49"/>
      <c r="B54" s="49"/>
      <c r="C54" s="49"/>
      <c r="D54" s="4"/>
      <c r="E54" s="101"/>
      <c r="F54" s="153"/>
      <c r="G54" s="53"/>
      <c r="H54" s="53"/>
      <c r="I54" s="53"/>
      <c r="J54" s="53"/>
      <c r="K54" s="53"/>
      <c r="L54" s="54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</row>
    <row r="55">
      <c r="A55" s="49"/>
      <c r="B55" s="49"/>
      <c r="C55" s="49"/>
      <c r="D55" s="4"/>
      <c r="E55" s="101"/>
      <c r="F55" s="49"/>
      <c r="G55" s="49"/>
      <c r="H55" s="49"/>
      <c r="I55" s="101"/>
      <c r="J55" s="49"/>
      <c r="K55" s="101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  <c r="AB55" s="49"/>
    </row>
    <row r="56">
      <c r="A56" s="49"/>
      <c r="B56" s="49"/>
      <c r="C56" s="49"/>
      <c r="D56" s="4"/>
      <c r="E56" s="101"/>
      <c r="F56" s="154" t="s">
        <v>90</v>
      </c>
      <c r="G56" s="154" t="s">
        <v>91</v>
      </c>
      <c r="H56" s="154" t="s">
        <v>92</v>
      </c>
      <c r="I56" s="154" t="s">
        <v>93</v>
      </c>
      <c r="J56" s="154" t="s">
        <v>94</v>
      </c>
      <c r="K56" s="154" t="s">
        <v>95</v>
      </c>
      <c r="L56" s="154" t="s">
        <v>96</v>
      </c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</row>
    <row r="57">
      <c r="A57" s="49"/>
      <c r="B57" s="49"/>
      <c r="C57" s="49"/>
      <c r="D57" s="4"/>
      <c r="E57" s="143">
        <v>1.0</v>
      </c>
      <c r="F57" s="144">
        <v>46054.0</v>
      </c>
      <c r="G57" s="155" t="s">
        <v>110</v>
      </c>
      <c r="H57" s="145" t="s">
        <v>148</v>
      </c>
      <c r="I57" s="145">
        <v>2.0</v>
      </c>
      <c r="J57" s="149">
        <v>20950.0</v>
      </c>
      <c r="K57" s="147">
        <v>2095.0</v>
      </c>
      <c r="L57" s="148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  <c r="AB57" s="49"/>
    </row>
    <row r="58">
      <c r="A58" s="49"/>
      <c r="B58" s="49"/>
      <c r="C58" s="49"/>
      <c r="D58" s="4"/>
      <c r="E58" s="50">
        <v>2.0</v>
      </c>
      <c r="F58" s="144">
        <v>46056.0</v>
      </c>
      <c r="G58" s="155" t="s">
        <v>110</v>
      </c>
      <c r="H58" s="145" t="s">
        <v>101</v>
      </c>
      <c r="I58" s="145">
        <v>2.0</v>
      </c>
      <c r="J58" s="149">
        <v>6590.0</v>
      </c>
      <c r="K58" s="147">
        <v>659.0</v>
      </c>
      <c r="L58" s="148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</row>
    <row r="59">
      <c r="A59" s="49"/>
      <c r="B59" s="49"/>
      <c r="C59" s="49"/>
      <c r="D59" s="4"/>
      <c r="E59" s="50">
        <v>3.0</v>
      </c>
      <c r="F59" s="144">
        <v>46059.0</v>
      </c>
      <c r="G59" s="155" t="s">
        <v>110</v>
      </c>
      <c r="H59" s="145" t="s">
        <v>101</v>
      </c>
      <c r="I59" s="145">
        <v>2.0</v>
      </c>
      <c r="J59" s="147">
        <v>429.0</v>
      </c>
      <c r="K59" s="147">
        <v>0.0</v>
      </c>
      <c r="L59" s="148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  <c r="AB59" s="49"/>
    </row>
    <row r="60">
      <c r="A60" s="49"/>
      <c r="B60" s="49"/>
      <c r="C60" s="49"/>
      <c r="D60" s="4"/>
      <c r="E60" s="50">
        <v>4.0</v>
      </c>
      <c r="F60" s="144">
        <v>46065.0</v>
      </c>
      <c r="G60" s="155" t="s">
        <v>110</v>
      </c>
      <c r="H60" s="145" t="s">
        <v>101</v>
      </c>
      <c r="I60" s="145">
        <v>2.0</v>
      </c>
      <c r="J60" s="149">
        <v>2200.0</v>
      </c>
      <c r="K60" s="147">
        <v>0.0</v>
      </c>
      <c r="L60" s="148"/>
      <c r="M60" s="49"/>
      <c r="N60" s="51">
        <v>34.0</v>
      </c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  <c r="AB60" s="49"/>
    </row>
    <row r="61">
      <c r="A61" s="49"/>
      <c r="B61" s="49"/>
      <c r="C61" s="49"/>
      <c r="D61" s="4"/>
      <c r="E61" s="50">
        <v>5.0</v>
      </c>
      <c r="F61" s="144">
        <v>46069.0</v>
      </c>
      <c r="G61" s="155" t="s">
        <v>110</v>
      </c>
      <c r="H61" s="145" t="s">
        <v>101</v>
      </c>
      <c r="I61" s="145">
        <v>2.0</v>
      </c>
      <c r="J61" s="147">
        <v>3900.0</v>
      </c>
      <c r="K61" s="147">
        <v>390.0</v>
      </c>
      <c r="L61" s="148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  <c r="AB61" s="49"/>
    </row>
    <row r="62">
      <c r="A62" s="49"/>
      <c r="B62" s="49"/>
      <c r="C62" s="49"/>
      <c r="D62" s="4"/>
      <c r="E62" s="50">
        <v>6.0</v>
      </c>
      <c r="F62" s="144">
        <v>46070.0</v>
      </c>
      <c r="G62" s="155" t="s">
        <v>110</v>
      </c>
      <c r="H62" s="145" t="s">
        <v>142</v>
      </c>
      <c r="I62" s="145">
        <v>4.0</v>
      </c>
      <c r="J62" s="149">
        <v>13450.0</v>
      </c>
      <c r="K62" s="147">
        <v>1345.0</v>
      </c>
      <c r="L62" s="148"/>
      <c r="M62" s="49"/>
      <c r="N62" s="84">
        <v>10400.0</v>
      </c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  <c r="AB62" s="49"/>
    </row>
    <row r="63">
      <c r="A63" s="49"/>
      <c r="B63" s="49"/>
      <c r="C63" s="49"/>
      <c r="D63" s="4"/>
      <c r="E63" s="50">
        <v>7.0</v>
      </c>
      <c r="F63" s="144">
        <v>46073.0</v>
      </c>
      <c r="G63" s="155" t="s">
        <v>110</v>
      </c>
      <c r="H63" s="145" t="s">
        <v>149</v>
      </c>
      <c r="I63" s="145">
        <v>4.0</v>
      </c>
      <c r="J63" s="146">
        <v>16480.0</v>
      </c>
      <c r="K63" s="147">
        <v>1648.0</v>
      </c>
      <c r="L63" s="148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</row>
    <row r="64">
      <c r="A64" s="49"/>
      <c r="B64" s="49"/>
      <c r="C64" s="49"/>
      <c r="D64" s="4"/>
      <c r="E64" s="50">
        <v>8.0</v>
      </c>
      <c r="F64" s="144">
        <v>46075.0</v>
      </c>
      <c r="G64" s="155" t="s">
        <v>110</v>
      </c>
      <c r="H64" s="145" t="s">
        <v>150</v>
      </c>
      <c r="I64" s="145">
        <v>1.5</v>
      </c>
      <c r="J64" s="149">
        <v>10859.0</v>
      </c>
      <c r="K64" s="147">
        <v>1085.0</v>
      </c>
      <c r="L64" s="148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</row>
    <row r="65">
      <c r="A65" s="49"/>
      <c r="B65" s="49"/>
      <c r="C65" s="49"/>
      <c r="D65" s="4"/>
      <c r="E65" s="50">
        <v>9.0</v>
      </c>
      <c r="F65" s="144">
        <v>46075.0</v>
      </c>
      <c r="G65" s="155" t="s">
        <v>110</v>
      </c>
      <c r="H65" s="145" t="s">
        <v>151</v>
      </c>
      <c r="I65" s="145">
        <v>2.0</v>
      </c>
      <c r="J65" s="149">
        <v>4350.0</v>
      </c>
      <c r="K65" s="147">
        <v>435.0</v>
      </c>
      <c r="L65" s="148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  <c r="AB65" s="49"/>
    </row>
    <row r="66">
      <c r="A66" s="49"/>
      <c r="B66" s="49"/>
      <c r="C66" s="49"/>
      <c r="D66" s="4"/>
      <c r="E66" s="50">
        <v>10.0</v>
      </c>
      <c r="F66" s="144">
        <v>46075.0</v>
      </c>
      <c r="G66" s="155" t="s">
        <v>110</v>
      </c>
      <c r="H66" s="145" t="s">
        <v>152</v>
      </c>
      <c r="I66" s="145">
        <v>4.5</v>
      </c>
      <c r="J66" s="149">
        <v>4540.0</v>
      </c>
      <c r="K66" s="147">
        <v>454.0</v>
      </c>
      <c r="L66" s="148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  <c r="AB66" s="49"/>
    </row>
    <row r="67">
      <c r="A67" s="49"/>
      <c r="B67" s="49"/>
      <c r="C67" s="49"/>
      <c r="D67" s="4"/>
      <c r="E67" s="50">
        <v>11.0</v>
      </c>
      <c r="F67" s="144">
        <v>46076.0</v>
      </c>
      <c r="G67" s="155" t="s">
        <v>110</v>
      </c>
      <c r="H67" s="145" t="s">
        <v>101</v>
      </c>
      <c r="I67" s="145">
        <v>2.0</v>
      </c>
      <c r="J67" s="149">
        <v>3519.0</v>
      </c>
      <c r="K67" s="147">
        <v>351.0</v>
      </c>
      <c r="L67" s="148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</row>
    <row r="68">
      <c r="A68" s="49"/>
      <c r="B68" s="51">
        <v>13.0</v>
      </c>
      <c r="C68" s="49"/>
      <c r="D68" s="4"/>
      <c r="E68" s="50">
        <v>12.0</v>
      </c>
      <c r="F68" s="144">
        <v>46078.0</v>
      </c>
      <c r="G68" s="155" t="s">
        <v>110</v>
      </c>
      <c r="H68" s="145" t="s">
        <v>101</v>
      </c>
      <c r="I68" s="145">
        <v>2.0</v>
      </c>
      <c r="J68" s="147">
        <v>290.0</v>
      </c>
      <c r="K68" s="148"/>
      <c r="L68" s="148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</row>
    <row r="69">
      <c r="A69" s="49"/>
      <c r="B69" s="49"/>
      <c r="C69" s="49"/>
      <c r="D69" s="4"/>
      <c r="E69" s="101"/>
      <c r="F69" s="152">
        <v>46080.0</v>
      </c>
      <c r="G69" s="156" t="s">
        <v>110</v>
      </c>
      <c r="H69" s="85" t="s">
        <v>153</v>
      </c>
      <c r="I69" s="85">
        <v>2.0</v>
      </c>
      <c r="J69" s="131"/>
      <c r="K69" s="131"/>
      <c r="L69" s="131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  <c r="AB69" s="49"/>
    </row>
    <row r="70">
      <c r="A70" s="49"/>
      <c r="B70" s="49"/>
      <c r="C70" s="49"/>
      <c r="D70" s="4"/>
      <c r="E70" s="101"/>
      <c r="F70" s="153"/>
      <c r="G70" s="53"/>
      <c r="H70" s="53"/>
      <c r="I70" s="53"/>
      <c r="J70" s="53"/>
      <c r="K70" s="53"/>
      <c r="L70" s="54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  <c r="AB70" s="49"/>
    </row>
    <row r="71">
      <c r="A71" s="49"/>
      <c r="B71" s="49"/>
      <c r="C71" s="49"/>
      <c r="D71" s="4"/>
      <c r="E71" s="101"/>
      <c r="F71" s="49"/>
      <c r="G71" s="49"/>
      <c r="H71" s="49"/>
      <c r="I71" s="101">
        <f t="shared" ref="I71:K71" si="1">SUM(I39:I69)</f>
        <v>59.5</v>
      </c>
      <c r="J71" s="107">
        <f t="shared" si="1"/>
        <v>174243.41</v>
      </c>
      <c r="K71" s="101">
        <f t="shared" si="1"/>
        <v>16615</v>
      </c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  <c r="AB71" s="49"/>
    </row>
    <row r="72">
      <c r="A72" s="49"/>
      <c r="B72" s="49"/>
      <c r="C72" s="49"/>
      <c r="D72" s="56">
        <v>200000.0</v>
      </c>
      <c r="E72" s="101"/>
      <c r="F72" s="49"/>
      <c r="G72" s="49"/>
      <c r="H72" s="49"/>
      <c r="I72" s="101"/>
      <c r="J72" s="49"/>
      <c r="K72" s="101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  <c r="AB72" s="49"/>
    </row>
    <row r="73">
      <c r="A73" s="49"/>
      <c r="B73" s="49"/>
      <c r="C73" s="49"/>
      <c r="D73" s="107">
        <f>SUM(J39:J69)</f>
        <v>174243.41</v>
      </c>
      <c r="E73" s="101"/>
      <c r="F73" s="49"/>
      <c r="G73" s="49"/>
      <c r="H73" s="49"/>
      <c r="I73" s="101"/>
      <c r="J73" s="49"/>
      <c r="K73" s="101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  <c r="AB73" s="49"/>
    </row>
    <row r="74">
      <c r="A74" s="49"/>
      <c r="B74" s="49"/>
      <c r="C74" s="49"/>
      <c r="D74" s="157">
        <v>49366.0</v>
      </c>
      <c r="E74" s="101"/>
      <c r="F74" s="49"/>
      <c r="K74" s="101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  <c r="AB74" s="49"/>
    </row>
    <row r="75">
      <c r="A75" s="49"/>
      <c r="B75" s="49"/>
      <c r="C75" s="49"/>
      <c r="D75" s="4"/>
      <c r="E75" s="101"/>
      <c r="F75" s="49"/>
      <c r="G75" s="49"/>
      <c r="H75" s="49"/>
      <c r="I75" s="101"/>
      <c r="J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  <c r="AB75" s="49"/>
    </row>
    <row r="76">
      <c r="A76" s="49"/>
      <c r="B76" s="49"/>
      <c r="C76" s="49"/>
      <c r="D76" s="4"/>
      <c r="E76" s="101"/>
      <c r="F76" s="158"/>
      <c r="K76" s="101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  <c r="AB76" s="49"/>
    </row>
    <row r="77">
      <c r="A77" s="49"/>
      <c r="B77" s="49"/>
      <c r="C77" s="49"/>
      <c r="D77" s="4"/>
      <c r="E77" s="101"/>
      <c r="F77" s="159"/>
      <c r="K77" s="101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  <c r="AB77" s="49"/>
    </row>
    <row r="78">
      <c r="A78" s="49"/>
      <c r="B78" s="49"/>
      <c r="C78" s="49"/>
      <c r="D78" s="4"/>
      <c r="E78" s="101"/>
      <c r="K78" s="101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  <c r="AA78" s="49"/>
      <c r="AB78" s="49"/>
    </row>
    <row r="79">
      <c r="A79" s="49"/>
      <c r="B79" s="49"/>
      <c r="C79" s="49"/>
      <c r="D79" s="4"/>
      <c r="E79" s="101"/>
      <c r="F79" s="75"/>
      <c r="K79" s="101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  <c r="AB79" s="49"/>
    </row>
    <row r="80">
      <c r="A80" s="49"/>
      <c r="B80" s="49"/>
      <c r="C80" s="49"/>
      <c r="D80" s="4"/>
      <c r="E80" s="101"/>
      <c r="F80" s="49"/>
      <c r="G80" s="49"/>
      <c r="H80" s="49"/>
      <c r="I80" s="101"/>
      <c r="J80" s="49"/>
      <c r="K80" s="101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  <c r="AA80" s="49"/>
      <c r="AB80" s="49"/>
    </row>
    <row r="81">
      <c r="A81" s="49"/>
      <c r="B81" s="49"/>
      <c r="C81" s="49"/>
      <c r="D81" s="4"/>
      <c r="E81" s="101"/>
      <c r="F81" s="49"/>
      <c r="K81" s="101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  <c r="AB81" s="49"/>
    </row>
    <row r="82">
      <c r="A82" s="49"/>
      <c r="B82" s="49"/>
      <c r="C82" s="49"/>
      <c r="D82" s="4"/>
      <c r="E82" s="101"/>
      <c r="F82" s="49"/>
      <c r="G82" s="49"/>
      <c r="H82" s="49"/>
      <c r="I82" s="101"/>
      <c r="J82" s="49"/>
      <c r="K82" s="101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  <c r="AB82" s="49"/>
    </row>
    <row r="83">
      <c r="A83" s="49"/>
      <c r="B83" s="49"/>
      <c r="C83" s="49"/>
      <c r="D83" s="4"/>
      <c r="E83" s="101"/>
      <c r="F83" s="49"/>
      <c r="G83" s="49"/>
      <c r="H83" s="49"/>
      <c r="I83" s="101"/>
      <c r="J83" s="49"/>
      <c r="K83" s="101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  <c r="AB83" s="49"/>
    </row>
    <row r="84">
      <c r="A84" s="49"/>
      <c r="B84" s="49"/>
      <c r="C84" s="49"/>
      <c r="D84" s="4"/>
      <c r="E84" s="101"/>
      <c r="F84" s="49"/>
      <c r="G84" s="49"/>
      <c r="H84" s="49"/>
      <c r="I84" s="101"/>
      <c r="J84" s="49"/>
      <c r="K84" s="101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  <c r="AA84" s="49"/>
      <c r="AB84" s="49"/>
    </row>
    <row r="85">
      <c r="A85" s="49"/>
      <c r="B85" s="49"/>
      <c r="C85" s="49"/>
      <c r="D85" s="4"/>
      <c r="E85" s="101"/>
      <c r="F85" s="49"/>
      <c r="G85" s="49"/>
      <c r="H85" s="49"/>
      <c r="I85" s="101"/>
      <c r="J85" s="49"/>
      <c r="K85" s="101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  <c r="AA85" s="49"/>
      <c r="AB85" s="49"/>
    </row>
    <row r="86">
      <c r="A86" s="49"/>
      <c r="B86" s="49"/>
      <c r="C86" s="49"/>
      <c r="D86" s="4"/>
      <c r="E86" s="101"/>
      <c r="F86" s="49"/>
      <c r="G86" s="49"/>
      <c r="H86" s="49"/>
      <c r="I86" s="101"/>
      <c r="J86" s="49"/>
      <c r="K86" s="101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  <c r="AB86" s="49"/>
    </row>
    <row r="87">
      <c r="A87" s="49"/>
      <c r="B87" s="49"/>
      <c r="C87" s="49"/>
      <c r="D87" s="4"/>
      <c r="E87" s="101"/>
      <c r="F87" s="49"/>
      <c r="G87" s="49"/>
      <c r="H87" s="49"/>
      <c r="I87" s="101"/>
      <c r="J87" s="49"/>
      <c r="K87" s="101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  <c r="AB87" s="49"/>
    </row>
    <row r="88">
      <c r="A88" s="49"/>
      <c r="B88" s="49"/>
      <c r="C88" s="49"/>
      <c r="D88" s="4"/>
      <c r="E88" s="101"/>
      <c r="F88" s="49"/>
      <c r="G88" s="49"/>
      <c r="H88" s="49"/>
      <c r="I88" s="101"/>
      <c r="J88" s="49"/>
      <c r="K88" s="101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  <c r="AB88" s="49"/>
    </row>
    <row r="89">
      <c r="A89" s="49"/>
      <c r="B89" s="49"/>
      <c r="C89" s="49"/>
      <c r="D89" s="4"/>
      <c r="E89" s="101"/>
      <c r="F89" s="49"/>
      <c r="G89" s="49"/>
      <c r="H89" s="49"/>
      <c r="I89" s="101"/>
      <c r="J89" s="49"/>
      <c r="K89" s="101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  <c r="AB89" s="49"/>
    </row>
    <row r="90">
      <c r="A90" s="49"/>
      <c r="B90" s="49"/>
      <c r="C90" s="49"/>
      <c r="D90" s="4"/>
      <c r="E90" s="101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  <c r="AA90" s="49"/>
      <c r="AB90" s="49"/>
    </row>
    <row r="9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  <c r="AA91" s="49"/>
      <c r="AB91" s="49"/>
    </row>
    <row r="92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  <c r="AB92" s="49"/>
    </row>
    <row r="93">
      <c r="A93" s="49"/>
      <c r="B93" s="49"/>
      <c r="C93" s="49"/>
      <c r="D93" s="49"/>
      <c r="E93" s="49"/>
      <c r="F93" s="49"/>
      <c r="G93" s="101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  <c r="AB93" s="49"/>
    </row>
    <row r="94">
      <c r="A94" s="49"/>
      <c r="B94" s="49"/>
      <c r="C94" s="49"/>
      <c r="D94" s="49"/>
      <c r="E94" s="49"/>
      <c r="F94" s="49"/>
      <c r="G94" s="160" t="s">
        <v>11</v>
      </c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  <c r="AA94" s="49"/>
      <c r="AB94" s="49"/>
    </row>
    <row r="95">
      <c r="A95" s="49"/>
      <c r="B95" s="49"/>
      <c r="C95" s="49"/>
      <c r="D95" s="49"/>
      <c r="E95" s="49"/>
      <c r="F95" s="49"/>
      <c r="G95" s="161" t="s">
        <v>11</v>
      </c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  <c r="AB95" s="49"/>
    </row>
    <row r="96">
      <c r="A96" s="49"/>
      <c r="B96" s="49"/>
      <c r="C96" s="49"/>
      <c r="D96" s="49"/>
      <c r="E96" s="49"/>
      <c r="F96" s="49"/>
      <c r="G96" s="161" t="s">
        <v>11</v>
      </c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  <c r="AA96" s="49"/>
      <c r="AB96" s="49"/>
    </row>
    <row r="97">
      <c r="A97" s="49"/>
      <c r="B97" s="49"/>
      <c r="C97" s="49"/>
      <c r="D97" s="49"/>
      <c r="E97" s="49"/>
      <c r="F97" s="49"/>
      <c r="G97" s="161" t="s">
        <v>11</v>
      </c>
      <c r="H97" s="49"/>
      <c r="I97" s="161" t="s">
        <v>11</v>
      </c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  <c r="AA97" s="49"/>
      <c r="AB97" s="49"/>
    </row>
    <row r="98">
      <c r="A98" s="49"/>
      <c r="B98" s="49"/>
      <c r="C98" s="49"/>
      <c r="D98" s="49"/>
      <c r="E98" s="49"/>
      <c r="F98" s="49"/>
      <c r="G98" s="161" t="s">
        <v>11</v>
      </c>
      <c r="H98" s="49"/>
      <c r="I98" s="161" t="s">
        <v>11</v>
      </c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  <c r="AA98" s="49"/>
      <c r="AB98" s="49"/>
    </row>
    <row r="99">
      <c r="A99" s="49"/>
      <c r="B99" s="49"/>
      <c r="C99" s="49"/>
      <c r="D99" s="49"/>
      <c r="E99" s="49"/>
      <c r="F99" s="49"/>
      <c r="G99" s="161" t="s">
        <v>11</v>
      </c>
      <c r="H99" s="49"/>
      <c r="I99" s="161" t="s">
        <v>11</v>
      </c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  <c r="AA99" s="49"/>
      <c r="AB99" s="49"/>
    </row>
    <row r="100">
      <c r="A100" s="49"/>
      <c r="B100" s="49"/>
      <c r="C100" s="49"/>
      <c r="D100" s="49"/>
      <c r="E100" s="49"/>
      <c r="F100" s="49"/>
      <c r="G100" s="161" t="s">
        <v>11</v>
      </c>
      <c r="H100" s="49"/>
      <c r="I100" s="161" t="s">
        <v>11</v>
      </c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  <c r="AB100" s="49"/>
    </row>
    <row r="101">
      <c r="A101" s="49"/>
      <c r="B101" s="49"/>
      <c r="C101" s="49"/>
      <c r="D101" s="49"/>
      <c r="E101" s="49"/>
      <c r="F101" s="49"/>
      <c r="G101" s="161" t="s">
        <v>11</v>
      </c>
      <c r="H101" s="49"/>
      <c r="I101" s="161" t="s">
        <v>11</v>
      </c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  <c r="AA101" s="49"/>
      <c r="AB101" s="49"/>
    </row>
    <row r="102">
      <c r="A102" s="49"/>
      <c r="B102" s="49"/>
      <c r="C102" s="49"/>
      <c r="D102" s="49"/>
      <c r="E102" s="49"/>
      <c r="F102" s="49"/>
      <c r="G102" s="161" t="s">
        <v>11</v>
      </c>
      <c r="H102" s="49"/>
      <c r="I102" s="161" t="s">
        <v>11</v>
      </c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  <c r="AB102" s="49"/>
    </row>
    <row r="103">
      <c r="A103" s="49"/>
      <c r="B103" s="49"/>
      <c r="C103" s="49"/>
      <c r="D103" s="49"/>
      <c r="E103" s="49"/>
      <c r="F103" s="49"/>
      <c r="G103" s="161" t="s">
        <v>11</v>
      </c>
      <c r="H103" s="49"/>
      <c r="I103" s="161" t="s">
        <v>11</v>
      </c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  <c r="AA103" s="49"/>
      <c r="AB103" s="49"/>
    </row>
    <row r="104">
      <c r="A104" s="49"/>
      <c r="B104" s="49"/>
      <c r="C104" s="49"/>
      <c r="D104" s="49"/>
      <c r="E104" s="49"/>
      <c r="F104" s="49"/>
      <c r="G104" s="161" t="s">
        <v>11</v>
      </c>
      <c r="H104" s="49"/>
      <c r="I104" s="161" t="s">
        <v>11</v>
      </c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  <c r="AA104" s="49"/>
      <c r="AB104" s="49"/>
    </row>
    <row r="105">
      <c r="A105" s="49"/>
      <c r="B105" s="49"/>
      <c r="C105" s="49"/>
      <c r="D105" s="49"/>
      <c r="E105" s="49"/>
      <c r="F105" s="49"/>
      <c r="G105" s="161" t="s">
        <v>11</v>
      </c>
      <c r="H105" s="49"/>
      <c r="I105" s="161" t="s">
        <v>11</v>
      </c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  <c r="AA105" s="49"/>
      <c r="AB105" s="49"/>
    </row>
    <row r="106">
      <c r="A106" s="49"/>
      <c r="B106" s="49"/>
      <c r="C106" s="49"/>
      <c r="D106" s="49"/>
      <c r="E106" s="49"/>
      <c r="F106" s="49"/>
      <c r="G106" s="161" t="s">
        <v>11</v>
      </c>
      <c r="H106" s="49"/>
      <c r="I106" s="161" t="s">
        <v>11</v>
      </c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  <c r="AA106" s="49"/>
      <c r="AB106" s="49"/>
    </row>
    <row r="107">
      <c r="A107" s="49"/>
      <c r="B107" s="49"/>
      <c r="C107" s="49"/>
      <c r="D107" s="49"/>
      <c r="E107" s="49"/>
      <c r="F107" s="49"/>
      <c r="G107" s="161" t="s">
        <v>11</v>
      </c>
      <c r="H107" s="49"/>
      <c r="I107" s="161" t="s">
        <v>11</v>
      </c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  <c r="AA107" s="49"/>
      <c r="AB107" s="49"/>
    </row>
    <row r="108">
      <c r="A108" s="49"/>
      <c r="B108" s="49"/>
      <c r="C108" s="49"/>
      <c r="D108" s="49"/>
      <c r="E108" s="49"/>
      <c r="F108" s="49"/>
      <c r="G108" s="161" t="s">
        <v>11</v>
      </c>
      <c r="H108" s="49"/>
      <c r="I108" s="161" t="s">
        <v>11</v>
      </c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  <c r="AA108" s="49"/>
      <c r="AB108" s="49"/>
    </row>
    <row r="109">
      <c r="A109" s="49"/>
      <c r="B109" s="49"/>
      <c r="C109" s="49"/>
      <c r="D109" s="49"/>
      <c r="E109" s="49"/>
      <c r="F109" s="49"/>
      <c r="G109" s="161" t="s">
        <v>11</v>
      </c>
      <c r="H109" s="49"/>
      <c r="I109" s="161" t="s">
        <v>11</v>
      </c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  <c r="AA109" s="49"/>
      <c r="AB109" s="49"/>
    </row>
    <row r="110">
      <c r="A110" s="49"/>
      <c r="B110" s="49"/>
      <c r="C110" s="49"/>
      <c r="D110" s="49"/>
      <c r="E110" s="49"/>
      <c r="F110" s="49"/>
      <c r="G110" s="161" t="s">
        <v>11</v>
      </c>
      <c r="H110" s="49"/>
      <c r="I110" s="161" t="s">
        <v>11</v>
      </c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  <c r="AA110" s="49"/>
      <c r="AB110" s="49"/>
    </row>
    <row r="111">
      <c r="A111" s="49"/>
      <c r="B111" s="49"/>
      <c r="C111" s="49"/>
      <c r="D111" s="49"/>
      <c r="E111" s="49"/>
      <c r="F111" s="49"/>
      <c r="G111" s="161" t="s">
        <v>11</v>
      </c>
      <c r="H111" s="49"/>
      <c r="I111" s="161" t="s">
        <v>11</v>
      </c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  <c r="AA111" s="49"/>
      <c r="AB111" s="49"/>
    </row>
    <row r="112">
      <c r="A112" s="49"/>
      <c r="B112" s="49"/>
      <c r="C112" s="49"/>
      <c r="D112" s="49"/>
      <c r="E112" s="49"/>
      <c r="F112" s="49"/>
      <c r="G112" s="161" t="s">
        <v>11</v>
      </c>
      <c r="H112" s="49"/>
      <c r="I112" s="161" t="s">
        <v>11</v>
      </c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  <c r="AA112" s="49"/>
      <c r="AB112" s="49"/>
    </row>
    <row r="113">
      <c r="A113" s="49"/>
      <c r="B113" s="49"/>
      <c r="C113" s="49"/>
      <c r="D113" s="49"/>
      <c r="E113" s="49"/>
      <c r="F113" s="49"/>
      <c r="G113" s="161" t="s">
        <v>11</v>
      </c>
      <c r="H113" s="49"/>
      <c r="I113" s="161" t="s">
        <v>11</v>
      </c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  <c r="AA113" s="49"/>
      <c r="AB113" s="49"/>
    </row>
    <row r="114">
      <c r="A114" s="49"/>
      <c r="B114" s="49"/>
      <c r="C114" s="49"/>
      <c r="D114" s="49"/>
      <c r="E114" s="49"/>
      <c r="F114" s="49"/>
      <c r="G114" s="161" t="s">
        <v>11</v>
      </c>
      <c r="H114" s="49"/>
      <c r="I114" s="161" t="s">
        <v>11</v>
      </c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  <c r="AA114" s="49"/>
      <c r="AB114" s="49"/>
    </row>
    <row r="115">
      <c r="A115" s="49"/>
      <c r="B115" s="49"/>
      <c r="C115" s="49"/>
      <c r="D115" s="49"/>
      <c r="E115" s="49"/>
      <c r="F115" s="49"/>
      <c r="G115" s="161" t="s">
        <v>11</v>
      </c>
      <c r="H115" s="49"/>
      <c r="I115" s="161" t="s">
        <v>11</v>
      </c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  <c r="AA115" s="49"/>
      <c r="AB115" s="49"/>
    </row>
    <row r="116">
      <c r="A116" s="49"/>
      <c r="B116" s="49"/>
      <c r="C116" s="49"/>
      <c r="D116" s="49"/>
      <c r="E116" s="49"/>
      <c r="F116" s="49"/>
      <c r="G116" s="161" t="s">
        <v>11</v>
      </c>
      <c r="H116" s="49"/>
      <c r="I116" s="161" t="s">
        <v>11</v>
      </c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  <c r="AA116" s="49"/>
      <c r="AB116" s="49"/>
    </row>
    <row r="117">
      <c r="A117" s="49"/>
      <c r="B117" s="49"/>
      <c r="C117" s="49"/>
      <c r="D117" s="49"/>
      <c r="E117" s="49"/>
      <c r="F117" s="49"/>
      <c r="G117" s="161" t="s">
        <v>11</v>
      </c>
      <c r="H117" s="49"/>
      <c r="I117" s="161" t="s">
        <v>11</v>
      </c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  <c r="AA117" s="49"/>
      <c r="AB117" s="49"/>
    </row>
    <row r="118">
      <c r="A118" s="49"/>
      <c r="B118" s="49"/>
      <c r="C118" s="49"/>
      <c r="D118" s="49"/>
      <c r="E118" s="49"/>
      <c r="F118" s="49"/>
      <c r="G118" s="161" t="s">
        <v>11</v>
      </c>
      <c r="H118" s="49"/>
      <c r="I118" s="161" t="s">
        <v>11</v>
      </c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  <c r="AA118" s="49"/>
      <c r="AB118" s="49"/>
    </row>
    <row r="119">
      <c r="A119" s="49"/>
      <c r="B119" s="49"/>
      <c r="C119" s="49"/>
      <c r="D119" s="49"/>
      <c r="E119" s="49"/>
      <c r="F119" s="49"/>
      <c r="G119" s="161" t="s">
        <v>11</v>
      </c>
      <c r="H119" s="49"/>
      <c r="I119" s="161" t="s">
        <v>11</v>
      </c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  <c r="AA119" s="49"/>
      <c r="AB119" s="49"/>
    </row>
    <row r="120">
      <c r="A120" s="49"/>
      <c r="B120" s="49"/>
      <c r="C120" s="49"/>
      <c r="D120" s="49"/>
      <c r="E120" s="49"/>
      <c r="F120" s="49"/>
      <c r="G120" s="161" t="s">
        <v>11</v>
      </c>
      <c r="H120" s="49"/>
      <c r="I120" s="161" t="s">
        <v>11</v>
      </c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  <c r="AA120" s="49"/>
      <c r="AB120" s="49"/>
    </row>
    <row r="121">
      <c r="A121" s="49"/>
      <c r="B121" s="49"/>
      <c r="C121" s="49"/>
      <c r="D121" s="49"/>
      <c r="E121" s="49"/>
      <c r="F121" s="49"/>
      <c r="G121" s="161" t="s">
        <v>11</v>
      </c>
      <c r="H121" s="49"/>
      <c r="I121" s="161" t="s">
        <v>11</v>
      </c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  <c r="AA121" s="49"/>
      <c r="AB121" s="49"/>
    </row>
    <row r="122">
      <c r="A122" s="49"/>
      <c r="B122" s="49"/>
      <c r="C122" s="49"/>
      <c r="D122" s="49"/>
      <c r="E122" s="49"/>
      <c r="F122" s="49"/>
      <c r="G122" s="161" t="s">
        <v>11</v>
      </c>
      <c r="H122" s="49"/>
      <c r="I122" s="161" t="s">
        <v>11</v>
      </c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  <c r="AA122" s="49"/>
      <c r="AB122" s="49"/>
    </row>
    <row r="123">
      <c r="A123" s="49"/>
      <c r="B123" s="49"/>
      <c r="C123" s="49"/>
      <c r="D123" s="49"/>
      <c r="E123" s="49"/>
      <c r="F123" s="49"/>
      <c r="G123" s="161" t="s">
        <v>11</v>
      </c>
      <c r="H123" s="49"/>
      <c r="I123" s="161" t="s">
        <v>11</v>
      </c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  <c r="AA123" s="49"/>
      <c r="AB123" s="49"/>
    </row>
    <row r="124">
      <c r="A124" s="49"/>
      <c r="B124" s="49"/>
      <c r="C124" s="49"/>
      <c r="D124" s="49"/>
      <c r="E124" s="49"/>
      <c r="F124" s="49"/>
      <c r="G124" s="161" t="s">
        <v>11</v>
      </c>
      <c r="H124" s="49"/>
      <c r="I124" s="161" t="s">
        <v>11</v>
      </c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  <c r="AA124" s="49"/>
      <c r="AB124" s="49"/>
    </row>
    <row r="125">
      <c r="A125" s="49"/>
      <c r="B125" s="49"/>
      <c r="C125" s="49"/>
      <c r="D125" s="49"/>
      <c r="E125" s="49"/>
      <c r="F125" s="49"/>
      <c r="G125" s="161" t="s">
        <v>11</v>
      </c>
      <c r="H125" s="49"/>
      <c r="I125" s="161" t="s">
        <v>11</v>
      </c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  <c r="AA125" s="49"/>
      <c r="AB125" s="49"/>
    </row>
    <row r="126">
      <c r="A126" s="49"/>
      <c r="B126" s="49"/>
      <c r="C126" s="49"/>
      <c r="D126" s="49"/>
      <c r="E126" s="49"/>
      <c r="F126" s="49"/>
      <c r="G126" s="49"/>
      <c r="H126" s="49"/>
      <c r="I126" s="161" t="s">
        <v>11</v>
      </c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  <c r="AB126" s="49"/>
    </row>
    <row r="127">
      <c r="A127" s="49"/>
      <c r="B127" s="49"/>
      <c r="C127" s="49"/>
      <c r="D127" s="49"/>
      <c r="E127" s="49"/>
      <c r="F127" s="49"/>
      <c r="G127" s="49"/>
      <c r="H127" s="49"/>
      <c r="I127" s="161" t="s">
        <v>11</v>
      </c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  <c r="AA127" s="49"/>
      <c r="AB127" s="49"/>
    </row>
    <row r="128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  <c r="AA128" s="49"/>
      <c r="AB128" s="49"/>
    </row>
    <row r="129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  <c r="AA129" s="49"/>
      <c r="AB129" s="49"/>
    </row>
    <row r="130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  <c r="AA130" s="49"/>
      <c r="AB130" s="49"/>
    </row>
    <row r="13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  <c r="AA131" s="49"/>
      <c r="AB131" s="49"/>
    </row>
    <row r="132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  <c r="AA132" s="49"/>
      <c r="AB132" s="49"/>
    </row>
    <row r="133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  <c r="AB133" s="49"/>
    </row>
    <row r="134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  <c r="AA134" s="49"/>
      <c r="AB134" s="49"/>
    </row>
    <row r="135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  <c r="AA135" s="49"/>
      <c r="AB135" s="49"/>
    </row>
    <row r="136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  <c r="AA136" s="49"/>
      <c r="AB136" s="49"/>
    </row>
    <row r="137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  <c r="AA137" s="49"/>
      <c r="AB137" s="49"/>
    </row>
    <row r="138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  <c r="AA138" s="49"/>
      <c r="AB138" s="49"/>
    </row>
    <row r="139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  <c r="AA139" s="49"/>
      <c r="AB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  <c r="AA140" s="49"/>
      <c r="AB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  <c r="AA141" s="49"/>
      <c r="AB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  <c r="AA142" s="49"/>
      <c r="AB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  <c r="AA143" s="49"/>
      <c r="AB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  <c r="AA144" s="49"/>
      <c r="AB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  <c r="AA145" s="49"/>
      <c r="AB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  <c r="AA146" s="49"/>
      <c r="AB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  <c r="AA147" s="49"/>
      <c r="AB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  <c r="AA148" s="49"/>
      <c r="AB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  <c r="AA149" s="49"/>
      <c r="AB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  <c r="AA150" s="49"/>
      <c r="AB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  <c r="AA151" s="49"/>
      <c r="AB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  <c r="AA152" s="49"/>
      <c r="AB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  <c r="AA153" s="49"/>
      <c r="AB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  <c r="AA154" s="49"/>
      <c r="AB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  <c r="AA155" s="49"/>
      <c r="AB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  <c r="AA156" s="49"/>
      <c r="AB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  <c r="AA157" s="49"/>
      <c r="AB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  <c r="AA158" s="49"/>
      <c r="AB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  <c r="AA159" s="49"/>
      <c r="AB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  <c r="AA160" s="49"/>
      <c r="AB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  <c r="AA161" s="49"/>
      <c r="AB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  <c r="AA162" s="49"/>
      <c r="AB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  <c r="AA163" s="49"/>
      <c r="AB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  <c r="AA164" s="49"/>
      <c r="AB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  <c r="AA165" s="49"/>
      <c r="AB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  <c r="AA166" s="49"/>
      <c r="AB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  <c r="AA167" s="49"/>
      <c r="AB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  <c r="AA168" s="49"/>
      <c r="AB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  <c r="AA169" s="49"/>
      <c r="AB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  <c r="AA170" s="49"/>
      <c r="AB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  <c r="AA171" s="49"/>
      <c r="AB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  <c r="AA172" s="49"/>
      <c r="AB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  <c r="AA173" s="49"/>
      <c r="AB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  <c r="AA174" s="49"/>
      <c r="AB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  <c r="AA175" s="49"/>
      <c r="AB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  <c r="AA176" s="49"/>
      <c r="AB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  <c r="AA177" s="49"/>
      <c r="AB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  <c r="AA178" s="49"/>
      <c r="AB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  <c r="AA179" s="49"/>
      <c r="AB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  <c r="AA180" s="49"/>
      <c r="AB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  <c r="AA181" s="49"/>
      <c r="AB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  <c r="AA182" s="49"/>
      <c r="AB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  <c r="AB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  <c r="AB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  <c r="AB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  <c r="AB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  <c r="AA187" s="49"/>
      <c r="AB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  <c r="AB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  <c r="AA189" s="49"/>
      <c r="AB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  <c r="AA190" s="49"/>
      <c r="AB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  <c r="AA191" s="49"/>
      <c r="AB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  <c r="AA193" s="49"/>
      <c r="AB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  <c r="AA194" s="49"/>
      <c r="AB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  <c r="AA195" s="49"/>
      <c r="AB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  <c r="AA196" s="49"/>
      <c r="AB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  <c r="AA197" s="49"/>
      <c r="AB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  <c r="AA198" s="49"/>
      <c r="AB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  <c r="AA199" s="49"/>
      <c r="AB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  <c r="AA200" s="49"/>
      <c r="AB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  <c r="AA201" s="49"/>
      <c r="AB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  <c r="AA202" s="49"/>
      <c r="AB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  <c r="AA203" s="49"/>
      <c r="AB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  <c r="AA204" s="49"/>
      <c r="AB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  <c r="AA205" s="49"/>
      <c r="AB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  <c r="AA206" s="49"/>
      <c r="AB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  <c r="AA207" s="49"/>
      <c r="AB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  <c r="AA208" s="49"/>
      <c r="AB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  <c r="AA209" s="49"/>
      <c r="AB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  <c r="AA210" s="49"/>
      <c r="AB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  <c r="AA211" s="49"/>
      <c r="AB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  <c r="AA212" s="49"/>
      <c r="AB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  <c r="AA213" s="49"/>
      <c r="AB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  <c r="AA214" s="49"/>
      <c r="AB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  <c r="AA215" s="49"/>
      <c r="AB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  <c r="AA216" s="49"/>
      <c r="AB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  <c r="AA217" s="49"/>
      <c r="AB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  <c r="AA218" s="49"/>
      <c r="AB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  <c r="AA219" s="49"/>
      <c r="AB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  <c r="AA220" s="49"/>
      <c r="AB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  <c r="AA221" s="49"/>
      <c r="AB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  <c r="AA222" s="49"/>
      <c r="AB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  <c r="AA223" s="49"/>
      <c r="AB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  <c r="AA224" s="49"/>
      <c r="AB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  <c r="AA225" s="49"/>
      <c r="AB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  <c r="AA226" s="49"/>
      <c r="AB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  <c r="AA227" s="49"/>
      <c r="AB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  <c r="AA228" s="49"/>
      <c r="AB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  <c r="AA229" s="49"/>
      <c r="AB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  <c r="AA230" s="49"/>
      <c r="AB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  <c r="AA231" s="49"/>
      <c r="AB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  <c r="AA232" s="49"/>
      <c r="AB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  <c r="AA233" s="49"/>
      <c r="AB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  <c r="AA234" s="49"/>
      <c r="AB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  <c r="AA235" s="49"/>
      <c r="AB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  <c r="AA236" s="49"/>
      <c r="AB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  <c r="AA237" s="49"/>
      <c r="AB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  <c r="AA238" s="49"/>
      <c r="AB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  <c r="AA239" s="49"/>
      <c r="AB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  <c r="AA240" s="49"/>
      <c r="AB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  <c r="AA241" s="49"/>
      <c r="AB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  <c r="AA242" s="49"/>
      <c r="AB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  <c r="AA243" s="49"/>
      <c r="AB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  <c r="AA244" s="49"/>
      <c r="AB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  <c r="AA245" s="49"/>
      <c r="AB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  <c r="AA246" s="49"/>
      <c r="AB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  <c r="AA247" s="49"/>
      <c r="AB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  <c r="AA248" s="49"/>
      <c r="AB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  <c r="AA249" s="49"/>
      <c r="AB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  <c r="AA250" s="49"/>
      <c r="AB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  <c r="AA251" s="49"/>
      <c r="AB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  <c r="AA252" s="49"/>
      <c r="AB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  <c r="AA253" s="49"/>
      <c r="AB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  <c r="AA254" s="49"/>
      <c r="AB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  <c r="AA255" s="49"/>
      <c r="AB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  <c r="AA256" s="49"/>
      <c r="AB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  <c r="AA257" s="49"/>
      <c r="AB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  <c r="AA258" s="49"/>
      <c r="AB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  <c r="AA259" s="49"/>
      <c r="AB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  <c r="AA260" s="49"/>
      <c r="AB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  <c r="AA261" s="49"/>
      <c r="AB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  <c r="AA262" s="49"/>
      <c r="AB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  <c r="AA263" s="49"/>
      <c r="AB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  <c r="AA264" s="49"/>
      <c r="AB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  <c r="AA265" s="49"/>
      <c r="AB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  <c r="AA266" s="49"/>
      <c r="AB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  <c r="AA267" s="49"/>
      <c r="AB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  <c r="AA268" s="49"/>
      <c r="AB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  <c r="AA269" s="49"/>
      <c r="AB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  <c r="AA270" s="49"/>
      <c r="AB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  <c r="AA271" s="49"/>
      <c r="AB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  <c r="AA272" s="49"/>
      <c r="AB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  <c r="AA273" s="49"/>
      <c r="AB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  <c r="AA274" s="49"/>
      <c r="AB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  <c r="AA275" s="49"/>
      <c r="AB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  <c r="AA276" s="49"/>
      <c r="AB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  <c r="AA277" s="49"/>
      <c r="AB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  <c r="AA278" s="49"/>
      <c r="AB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  <c r="AA279" s="49"/>
      <c r="AB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  <c r="AA280" s="49"/>
      <c r="AB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  <c r="AA281" s="49"/>
      <c r="AB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  <c r="AA282" s="49"/>
      <c r="AB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  <c r="AA283" s="49"/>
      <c r="AB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  <c r="AA284" s="49"/>
      <c r="AB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  <c r="AA285" s="49"/>
      <c r="AB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  <c r="AA286" s="49"/>
      <c r="AB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  <c r="AA287" s="49"/>
      <c r="AB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  <c r="AA288" s="49"/>
      <c r="AB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  <c r="AA289" s="49"/>
      <c r="AB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  <c r="AA290" s="49"/>
      <c r="AB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  <c r="AA291" s="49"/>
      <c r="AB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  <c r="AA292" s="49"/>
      <c r="AB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  <c r="AA293" s="49"/>
      <c r="AB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  <c r="AA294" s="49"/>
      <c r="AB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  <c r="AA295" s="49"/>
      <c r="AB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  <c r="AA296" s="49"/>
      <c r="AB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  <c r="AA297" s="49"/>
      <c r="AB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  <c r="AA298" s="49"/>
      <c r="AB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  <c r="AA299" s="49"/>
      <c r="AB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  <c r="AA300" s="49"/>
      <c r="AB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  <c r="AA301" s="49"/>
      <c r="AB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  <c r="AA302" s="49"/>
      <c r="AB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  <c r="AA303" s="49"/>
      <c r="AB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  <c r="AA304" s="49"/>
      <c r="AB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  <c r="AA305" s="49"/>
      <c r="AB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  <c r="AA306" s="49"/>
      <c r="AB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  <c r="AA307" s="49"/>
      <c r="AB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  <c r="AA308" s="49"/>
      <c r="AB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  <c r="AA309" s="49"/>
      <c r="AB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  <c r="AA310" s="49"/>
      <c r="AB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  <c r="AA311" s="49"/>
      <c r="AB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  <c r="AA312" s="49"/>
      <c r="AB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  <c r="AA313" s="49"/>
      <c r="AB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  <c r="AA314" s="49"/>
      <c r="AB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  <c r="AA315" s="49"/>
      <c r="AB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  <c r="AA316" s="49"/>
      <c r="AB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  <c r="AA317" s="49"/>
      <c r="AB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  <c r="AA318" s="49"/>
      <c r="AB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  <c r="AA319" s="49"/>
      <c r="AB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  <c r="AA320" s="49"/>
      <c r="AB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  <c r="AA321" s="49"/>
      <c r="AB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  <c r="AA322" s="49"/>
      <c r="AB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  <c r="AA323" s="49"/>
      <c r="AB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  <c r="AA324" s="49"/>
      <c r="AB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  <c r="AA325" s="49"/>
      <c r="AB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  <c r="AA326" s="49"/>
      <c r="AB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  <c r="AA327" s="49"/>
      <c r="AB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  <c r="AA328" s="49"/>
      <c r="AB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  <c r="AA329" s="49"/>
      <c r="AB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  <c r="AA330" s="49"/>
      <c r="AB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  <c r="AA331" s="49"/>
      <c r="AB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  <c r="AA332" s="49"/>
      <c r="AB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  <c r="AA333" s="49"/>
      <c r="AB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  <c r="AA334" s="49"/>
      <c r="AB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  <c r="AA335" s="49"/>
      <c r="AB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  <c r="AA336" s="49"/>
      <c r="AB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  <c r="AA337" s="49"/>
      <c r="AB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  <c r="AA338" s="49"/>
      <c r="AB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  <c r="AA339" s="49"/>
      <c r="AB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  <c r="AA340" s="49"/>
      <c r="AB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  <c r="AA341" s="49"/>
      <c r="AB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  <c r="AA342" s="49"/>
      <c r="AB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  <c r="AA343" s="49"/>
      <c r="AB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  <c r="AA344" s="49"/>
      <c r="AB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  <c r="AA345" s="49"/>
      <c r="AB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  <c r="AA346" s="49"/>
      <c r="AB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  <c r="AA347" s="49"/>
      <c r="AB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  <c r="AA348" s="49"/>
      <c r="AB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  <c r="AA349" s="49"/>
      <c r="AB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  <c r="AA350" s="49"/>
      <c r="AB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  <c r="AA351" s="49"/>
      <c r="AB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  <c r="AA352" s="49"/>
      <c r="AB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  <c r="AA353" s="49"/>
      <c r="AB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  <c r="AA354" s="49"/>
      <c r="AB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  <c r="AA355" s="49"/>
      <c r="AB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  <c r="AA356" s="49"/>
      <c r="AB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  <c r="AA357" s="49"/>
      <c r="AB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  <c r="AA358" s="49"/>
      <c r="AB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  <c r="AA359" s="49"/>
      <c r="AB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  <c r="AA360" s="49"/>
      <c r="AB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  <c r="AA361" s="49"/>
      <c r="AB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  <c r="AA362" s="49"/>
      <c r="AB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  <c r="AA363" s="49"/>
      <c r="AB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  <c r="AA364" s="49"/>
      <c r="AB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  <c r="AA365" s="49"/>
      <c r="AB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  <c r="AA366" s="49"/>
      <c r="AB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  <c r="AA367" s="49"/>
      <c r="AB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  <c r="AA368" s="49"/>
      <c r="AB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  <c r="AA369" s="49"/>
      <c r="AB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  <c r="AA370" s="49"/>
      <c r="AB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  <c r="AA371" s="49"/>
      <c r="AB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  <c r="AA372" s="49"/>
      <c r="AB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  <c r="AA373" s="49"/>
      <c r="AB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  <c r="AA374" s="49"/>
      <c r="AB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  <c r="AA375" s="49"/>
      <c r="AB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  <c r="AA376" s="49"/>
      <c r="AB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  <c r="AA377" s="49"/>
      <c r="AB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  <c r="AA378" s="49"/>
      <c r="AB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  <c r="AA379" s="49"/>
      <c r="AB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  <c r="AA380" s="49"/>
      <c r="AB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  <c r="AA381" s="49"/>
      <c r="AB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  <c r="AA382" s="49"/>
      <c r="AB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  <c r="AA383" s="49"/>
      <c r="AB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  <c r="AA384" s="49"/>
      <c r="AB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  <c r="AA385" s="49"/>
      <c r="AB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  <c r="AA386" s="49"/>
      <c r="AB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  <c r="AA387" s="49"/>
      <c r="AB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  <c r="AA388" s="49"/>
      <c r="AB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  <c r="AA389" s="49"/>
      <c r="AB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  <c r="AA390" s="49"/>
      <c r="AB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  <c r="AA391" s="49"/>
      <c r="AB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  <c r="AA392" s="49"/>
      <c r="AB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  <c r="AA393" s="49"/>
      <c r="AB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  <c r="AA394" s="49"/>
      <c r="AB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  <c r="AA395" s="49"/>
      <c r="AB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  <c r="AA396" s="49"/>
      <c r="AB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  <c r="AA397" s="49"/>
      <c r="AB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  <c r="AA398" s="49"/>
      <c r="AB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  <c r="AA399" s="49"/>
      <c r="AB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  <c r="AA400" s="49"/>
      <c r="AB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  <c r="AA401" s="49"/>
      <c r="AB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  <c r="AA402" s="49"/>
      <c r="AB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  <c r="AA403" s="49"/>
      <c r="AB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  <c r="AA404" s="49"/>
      <c r="AB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  <c r="AA405" s="49"/>
      <c r="AB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  <c r="AA406" s="49"/>
      <c r="AB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  <c r="AA407" s="49"/>
      <c r="AB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  <c r="AA408" s="49"/>
      <c r="AB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  <c r="AA409" s="49"/>
      <c r="AB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  <c r="AA410" s="49"/>
      <c r="AB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  <c r="AA411" s="49"/>
      <c r="AB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  <c r="AA412" s="49"/>
      <c r="AB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  <c r="AA413" s="49"/>
      <c r="AB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  <c r="AA414" s="49"/>
      <c r="AB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  <c r="AA415" s="49"/>
      <c r="AB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  <c r="AA416" s="49"/>
      <c r="AB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  <c r="AA417" s="49"/>
      <c r="AB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  <c r="AA418" s="49"/>
      <c r="AB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  <c r="AA419" s="49"/>
      <c r="AB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  <c r="AA420" s="49"/>
      <c r="AB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  <c r="AA421" s="49"/>
      <c r="AB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  <c r="AA422" s="49"/>
      <c r="AB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  <c r="AA423" s="49"/>
      <c r="AB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  <c r="AA424" s="49"/>
      <c r="AB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  <c r="AA425" s="49"/>
      <c r="AB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  <c r="AA426" s="49"/>
      <c r="AB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  <c r="AA427" s="49"/>
      <c r="AB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  <c r="AA428" s="49"/>
      <c r="AB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  <c r="AA429" s="49"/>
      <c r="AB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  <c r="AA430" s="49"/>
      <c r="AB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  <c r="AA431" s="49"/>
      <c r="AB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  <c r="AA432" s="49"/>
      <c r="AB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  <c r="AA433" s="49"/>
      <c r="AB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  <c r="AA434" s="49"/>
      <c r="AB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  <c r="AA435" s="49"/>
      <c r="AB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  <c r="AA436" s="49"/>
      <c r="AB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  <c r="AA437" s="49"/>
      <c r="AB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  <c r="AA438" s="49"/>
      <c r="AB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  <c r="AA439" s="49"/>
      <c r="AB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  <c r="AA440" s="49"/>
      <c r="AB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  <c r="AA441" s="49"/>
      <c r="AB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  <c r="AA442" s="49"/>
      <c r="AB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  <c r="AA443" s="49"/>
      <c r="AB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  <c r="AA444" s="49"/>
      <c r="AB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  <c r="AA445" s="49"/>
      <c r="AB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  <c r="AA446" s="49"/>
      <c r="AB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  <c r="AA447" s="49"/>
      <c r="AB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  <c r="AA448" s="49"/>
      <c r="AB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  <c r="AA449" s="49"/>
      <c r="AB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  <c r="AA450" s="49"/>
      <c r="AB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  <c r="AA451" s="49"/>
      <c r="AB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  <c r="AA452" s="49"/>
      <c r="AB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  <c r="AA453" s="49"/>
      <c r="AB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  <c r="AA454" s="49"/>
      <c r="AB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  <c r="AA455" s="49"/>
      <c r="AB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  <c r="AA456" s="49"/>
      <c r="AB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  <c r="AA457" s="49"/>
      <c r="AB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  <c r="AA458" s="49"/>
      <c r="AB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  <c r="AA459" s="49"/>
      <c r="AB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  <c r="AA460" s="49"/>
      <c r="AB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  <c r="AA461" s="49"/>
      <c r="AB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  <c r="AA462" s="49"/>
      <c r="AB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  <c r="AA463" s="49"/>
      <c r="AB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  <c r="AA464" s="49"/>
      <c r="AB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  <c r="AA465" s="49"/>
      <c r="AB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  <c r="AA466" s="49"/>
      <c r="AB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  <c r="AA467" s="49"/>
      <c r="AB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  <c r="AA468" s="49"/>
      <c r="AB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  <c r="AA469" s="49"/>
      <c r="AB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  <c r="AA470" s="49"/>
      <c r="AB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  <c r="AA471" s="49"/>
      <c r="AB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  <c r="AA472" s="49"/>
      <c r="AB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  <c r="AA473" s="49"/>
      <c r="AB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  <c r="AA474" s="49"/>
      <c r="AB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  <c r="AA475" s="49"/>
      <c r="AB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  <c r="AA476" s="49"/>
      <c r="AB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  <c r="AA477" s="49"/>
      <c r="AB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  <c r="AA478" s="49"/>
      <c r="AB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  <c r="AA479" s="49"/>
      <c r="AB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  <c r="AA480" s="49"/>
      <c r="AB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  <c r="AA481" s="49"/>
      <c r="AB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  <c r="AA482" s="49"/>
      <c r="AB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  <c r="AA483" s="49"/>
      <c r="AB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  <c r="AA484" s="49"/>
      <c r="AB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  <c r="AA485" s="49"/>
      <c r="AB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  <c r="AA486" s="49"/>
      <c r="AB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  <c r="AA487" s="49"/>
      <c r="AB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  <c r="AA488" s="49"/>
      <c r="AB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  <c r="AA489" s="49"/>
      <c r="AB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  <c r="AA490" s="49"/>
      <c r="AB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  <c r="AA491" s="49"/>
      <c r="AB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  <c r="AA492" s="49"/>
      <c r="AB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  <c r="AA493" s="49"/>
      <c r="AB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  <c r="AA494" s="49"/>
      <c r="AB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  <c r="AA495" s="49"/>
      <c r="AB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  <c r="AA496" s="49"/>
      <c r="AB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  <c r="AA497" s="49"/>
      <c r="AB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  <c r="AA498" s="49"/>
      <c r="AB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  <c r="AA499" s="49"/>
      <c r="AB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  <c r="AA500" s="49"/>
      <c r="AB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  <c r="AA501" s="49"/>
      <c r="AB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  <c r="AA502" s="49"/>
      <c r="AB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  <c r="AA503" s="49"/>
      <c r="AB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  <c r="AA504" s="49"/>
      <c r="AB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  <c r="AA505" s="49"/>
      <c r="AB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  <c r="AA506" s="49"/>
      <c r="AB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  <c r="AA507" s="49"/>
      <c r="AB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  <c r="AA508" s="49"/>
      <c r="AB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  <c r="AA509" s="49"/>
      <c r="AB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  <c r="AA510" s="49"/>
      <c r="AB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  <c r="AA511" s="49"/>
      <c r="AB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  <c r="AA512" s="49"/>
      <c r="AB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  <c r="AA513" s="49"/>
      <c r="AB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  <c r="AA514" s="49"/>
      <c r="AB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  <c r="AA515" s="49"/>
      <c r="AB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  <c r="AA516" s="49"/>
      <c r="AB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  <c r="AA517" s="49"/>
      <c r="AB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  <c r="AA518" s="49"/>
      <c r="AB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  <c r="AA519" s="49"/>
      <c r="AB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  <c r="AA520" s="49"/>
      <c r="AB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  <c r="AA521" s="49"/>
      <c r="AB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  <c r="AA522" s="49"/>
      <c r="AB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  <c r="AA523" s="49"/>
      <c r="AB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  <c r="AA524" s="49"/>
      <c r="AB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  <c r="AA525" s="49"/>
      <c r="AB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  <c r="AA526" s="49"/>
      <c r="AB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  <c r="AA527" s="49"/>
      <c r="AB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  <c r="AA528" s="49"/>
      <c r="AB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  <c r="AA529" s="49"/>
      <c r="AB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  <c r="AA530" s="49"/>
      <c r="AB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  <c r="AA531" s="49"/>
      <c r="AB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  <c r="AA532" s="49"/>
      <c r="AB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  <c r="AA533" s="49"/>
      <c r="AB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  <c r="AA534" s="49"/>
      <c r="AB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  <c r="AA535" s="49"/>
      <c r="AB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  <c r="AA536" s="49"/>
      <c r="AB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  <c r="AA537" s="49"/>
      <c r="AB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  <c r="AA538" s="49"/>
      <c r="AB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  <c r="AA539" s="49"/>
      <c r="AB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  <c r="AA540" s="49"/>
      <c r="AB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  <c r="AA541" s="49"/>
      <c r="AB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  <c r="AA542" s="49"/>
      <c r="AB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  <c r="AA543" s="49"/>
      <c r="AB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  <c r="AA544" s="49"/>
      <c r="AB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  <c r="AA545" s="49"/>
      <c r="AB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  <c r="AA546" s="49"/>
      <c r="AB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  <c r="AA547" s="49"/>
      <c r="AB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  <c r="AA548" s="49"/>
      <c r="AB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  <c r="AA549" s="49"/>
      <c r="AB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  <c r="AA550" s="49"/>
      <c r="AB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  <c r="AA551" s="49"/>
      <c r="AB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  <c r="AA552" s="49"/>
      <c r="AB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  <c r="AB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  <c r="AA554" s="49"/>
      <c r="AB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  <c r="AA555" s="49"/>
      <c r="AB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  <c r="AB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  <c r="AA557" s="49"/>
      <c r="AB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  <c r="AA558" s="49"/>
      <c r="AB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  <c r="AB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  <c r="AA560" s="49"/>
      <c r="AB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  <c r="AA561" s="49"/>
      <c r="AB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  <c r="AA562" s="49"/>
      <c r="AB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  <c r="AA563" s="49"/>
      <c r="AB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  <c r="AA564" s="49"/>
      <c r="AB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  <c r="AA565" s="49"/>
      <c r="AB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  <c r="AA566" s="49"/>
      <c r="AB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  <c r="AA567" s="49"/>
      <c r="AB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  <c r="AA568" s="49"/>
      <c r="AB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  <c r="AA569" s="49"/>
      <c r="AB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  <c r="AA570" s="49"/>
      <c r="AB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  <c r="AA571" s="49"/>
      <c r="AB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  <c r="AA572" s="49"/>
      <c r="AB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  <c r="AA573" s="49"/>
      <c r="AB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  <c r="AA574" s="49"/>
      <c r="AB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  <c r="AA575" s="49"/>
      <c r="AB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  <c r="AA576" s="49"/>
      <c r="AB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  <c r="AA577" s="49"/>
      <c r="AB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  <c r="AA578" s="49"/>
      <c r="AB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  <c r="AA579" s="49"/>
      <c r="AB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  <c r="AA580" s="49"/>
      <c r="AB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  <c r="AA581" s="49"/>
      <c r="AB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  <c r="AA582" s="49"/>
      <c r="AB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  <c r="AA583" s="49"/>
      <c r="AB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  <c r="AA584" s="49"/>
      <c r="AB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  <c r="AA585" s="49"/>
      <c r="AB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  <c r="AA586" s="49"/>
      <c r="AB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  <c r="AA587" s="49"/>
      <c r="AB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  <c r="AA588" s="49"/>
      <c r="AB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  <c r="AA589" s="49"/>
      <c r="AB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  <c r="AA590" s="49"/>
      <c r="AB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  <c r="AB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  <c r="AA592" s="49"/>
      <c r="AB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  <c r="AA593" s="49"/>
      <c r="AB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  <c r="AA594" s="49"/>
      <c r="AB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  <c r="AB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  <c r="AA596" s="49"/>
      <c r="AB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  <c r="AA597" s="49"/>
      <c r="AB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  <c r="AA598" s="49"/>
      <c r="AB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  <c r="AB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  <c r="AA600" s="49"/>
      <c r="AB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  <c r="AA601" s="49"/>
      <c r="AB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  <c r="AA602" s="49"/>
      <c r="AB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  <c r="AB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  <c r="AA604" s="49"/>
      <c r="AB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  <c r="AA605" s="49"/>
      <c r="AB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  <c r="AA606" s="49"/>
      <c r="AB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  <c r="AB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  <c r="AA608" s="49"/>
      <c r="AB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  <c r="AA609" s="49"/>
      <c r="AB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  <c r="AA610" s="49"/>
      <c r="AB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  <c r="AB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  <c r="AA612" s="49"/>
      <c r="AB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  <c r="AA613" s="49"/>
      <c r="AB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  <c r="AA614" s="49"/>
      <c r="AB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  <c r="AB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  <c r="AA616" s="49"/>
      <c r="AB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  <c r="AA617" s="49"/>
      <c r="AB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  <c r="AA618" s="49"/>
      <c r="AB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  <c r="AB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  <c r="AA620" s="49"/>
      <c r="AB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  <c r="AA621" s="49"/>
      <c r="AB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  <c r="AB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  <c r="AA623" s="49"/>
      <c r="AB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  <c r="AA624" s="49"/>
      <c r="AB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  <c r="AA625" s="49"/>
      <c r="AB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  <c r="AB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  <c r="AA627" s="49"/>
      <c r="AB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  <c r="AA628" s="49"/>
      <c r="AB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  <c r="AA629" s="49"/>
      <c r="AB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  <c r="AB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  <c r="AA631" s="49"/>
      <c r="AB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  <c r="AA632" s="49"/>
      <c r="AB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  <c r="AB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  <c r="AA634" s="49"/>
      <c r="AB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  <c r="AA635" s="49"/>
      <c r="AB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  <c r="AA636" s="49"/>
      <c r="AB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  <c r="AB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  <c r="AA638" s="49"/>
      <c r="AB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  <c r="AA639" s="49"/>
      <c r="AB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  <c r="AA640" s="49"/>
      <c r="AB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  <c r="AB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  <c r="AA642" s="49"/>
      <c r="AB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  <c r="AA643" s="49"/>
      <c r="AB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  <c r="AA644" s="49"/>
      <c r="AB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  <c r="AB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  <c r="AA646" s="49"/>
      <c r="AB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  <c r="AA647" s="49"/>
      <c r="AB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  <c r="AA648" s="49"/>
      <c r="AB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  <c r="AB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  <c r="AA650" s="49"/>
      <c r="AB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  <c r="AA651" s="49"/>
      <c r="AB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  <c r="AA652" s="49"/>
      <c r="AB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  <c r="AB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  <c r="AA654" s="49"/>
      <c r="AB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  <c r="AA655" s="49"/>
      <c r="AB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  <c r="AA656" s="49"/>
      <c r="AB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  <c r="AA657" s="49"/>
      <c r="AB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  <c r="AA658" s="49"/>
      <c r="AB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  <c r="AA659" s="49"/>
      <c r="AB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  <c r="AA660" s="49"/>
      <c r="AB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  <c r="AA661" s="49"/>
      <c r="AB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  <c r="AA662" s="49"/>
      <c r="AB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  <c r="AA663" s="49"/>
      <c r="AB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  <c r="AA664" s="49"/>
      <c r="AB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  <c r="AA665" s="49"/>
      <c r="AB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  <c r="AA666" s="49"/>
      <c r="AB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  <c r="AA667" s="49"/>
      <c r="AB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  <c r="AA668" s="49"/>
      <c r="AB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  <c r="AA669" s="49"/>
      <c r="AB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  <c r="AA670" s="49"/>
      <c r="AB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  <c r="AA671" s="49"/>
      <c r="AB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  <c r="AA672" s="49"/>
      <c r="AB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  <c r="AA673" s="49"/>
      <c r="AB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  <c r="AA674" s="49"/>
      <c r="AB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  <c r="AA675" s="49"/>
      <c r="AB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  <c r="AA676" s="49"/>
      <c r="AB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  <c r="AA677" s="49"/>
      <c r="AB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  <c r="AA678" s="49"/>
      <c r="AB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  <c r="AA679" s="49"/>
      <c r="AB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  <c r="AA680" s="49"/>
      <c r="AB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  <c r="AA681" s="49"/>
      <c r="AB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  <c r="AA682" s="49"/>
      <c r="AB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  <c r="AA683" s="49"/>
      <c r="AB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  <c r="AA684" s="49"/>
      <c r="AB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  <c r="AA685" s="49"/>
      <c r="AB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  <c r="AA686" s="49"/>
      <c r="AB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  <c r="AA687" s="49"/>
      <c r="AB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  <c r="AA688" s="49"/>
      <c r="AB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  <c r="AA689" s="49"/>
      <c r="AB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  <c r="AA690" s="49"/>
      <c r="AB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  <c r="AA691" s="49"/>
      <c r="AB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  <c r="AA692" s="49"/>
      <c r="AB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  <c r="AA693" s="49"/>
      <c r="AB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  <c r="AA694" s="49"/>
      <c r="AB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  <c r="AA695" s="49"/>
      <c r="AB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  <c r="AA696" s="49"/>
      <c r="AB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  <c r="AA697" s="49"/>
      <c r="AB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  <c r="AA698" s="49"/>
      <c r="AB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  <c r="AA699" s="49"/>
      <c r="AB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  <c r="AA700" s="49"/>
      <c r="AB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  <c r="AA701" s="49"/>
      <c r="AB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  <c r="AA702" s="49"/>
      <c r="AB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  <c r="AA703" s="49"/>
      <c r="AB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  <c r="AA704" s="49"/>
      <c r="AB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  <c r="AA705" s="49"/>
      <c r="AB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  <c r="AA706" s="49"/>
      <c r="AB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  <c r="AA707" s="49"/>
      <c r="AB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  <c r="AA708" s="49"/>
      <c r="AB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  <c r="AA709" s="49"/>
      <c r="AB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  <c r="AA710" s="49"/>
      <c r="AB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  <c r="AA711" s="49"/>
      <c r="AB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  <c r="AA712" s="49"/>
      <c r="AB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  <c r="AA713" s="49"/>
      <c r="AB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  <c r="AA714" s="49"/>
      <c r="AB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  <c r="AA715" s="49"/>
      <c r="AB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  <c r="AA716" s="49"/>
      <c r="AB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  <c r="AA717" s="49"/>
      <c r="AB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  <c r="AA718" s="49"/>
      <c r="AB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  <c r="AA719" s="49"/>
      <c r="AB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  <c r="AA720" s="49"/>
      <c r="AB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  <c r="AA721" s="49"/>
      <c r="AB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  <c r="AA722" s="49"/>
      <c r="AB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  <c r="AA723" s="49"/>
      <c r="AB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  <c r="AA724" s="49"/>
      <c r="AB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  <c r="AA725" s="49"/>
      <c r="AB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  <c r="AA726" s="49"/>
      <c r="AB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  <c r="AA727" s="49"/>
      <c r="AB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  <c r="AA728" s="49"/>
      <c r="AB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  <c r="AA729" s="49"/>
      <c r="AB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  <c r="AA730" s="49"/>
      <c r="AB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  <c r="AA731" s="49"/>
      <c r="AB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  <c r="AA732" s="49"/>
      <c r="AB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  <c r="AA733" s="49"/>
      <c r="AB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  <c r="AA734" s="49"/>
      <c r="AB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  <c r="AA735" s="49"/>
      <c r="AB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  <c r="AA736" s="49"/>
      <c r="AB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  <c r="AA737" s="49"/>
      <c r="AB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  <c r="AA738" s="49"/>
      <c r="AB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  <c r="AA739" s="49"/>
      <c r="AB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  <c r="AA740" s="49"/>
      <c r="AB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  <c r="AA741" s="49"/>
      <c r="AB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  <c r="AA742" s="49"/>
      <c r="AB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  <c r="AA743" s="49"/>
      <c r="AB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  <c r="AA744" s="49"/>
      <c r="AB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  <c r="AA745" s="49"/>
      <c r="AB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  <c r="AA746" s="49"/>
      <c r="AB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  <c r="AA747" s="49"/>
      <c r="AB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  <c r="AA748" s="49"/>
      <c r="AB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  <c r="AA749" s="49"/>
      <c r="AB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  <c r="AA750" s="49"/>
      <c r="AB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  <c r="AA751" s="49"/>
      <c r="AB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  <c r="AA752" s="49"/>
      <c r="AB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  <c r="AA753" s="49"/>
      <c r="AB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  <c r="AA754" s="49"/>
      <c r="AB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  <c r="AA755" s="49"/>
      <c r="AB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  <c r="AA756" s="49"/>
      <c r="AB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  <c r="AA757" s="49"/>
      <c r="AB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  <c r="AA758" s="49"/>
      <c r="AB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  <c r="AA759" s="49"/>
      <c r="AB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  <c r="AA760" s="49"/>
      <c r="AB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  <c r="AA761" s="49"/>
      <c r="AB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  <c r="AA762" s="49"/>
      <c r="AB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  <c r="AA763" s="49"/>
      <c r="AB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  <c r="AA764" s="49"/>
      <c r="AB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  <c r="AA765" s="49"/>
      <c r="AB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  <c r="AA766" s="49"/>
      <c r="AB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  <c r="AA767" s="49"/>
      <c r="AB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  <c r="AA768" s="49"/>
      <c r="AB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  <c r="AA769" s="49"/>
      <c r="AB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  <c r="AA770" s="49"/>
      <c r="AB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  <c r="AA771" s="49"/>
      <c r="AB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  <c r="AA772" s="49"/>
      <c r="AB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  <c r="AA773" s="49"/>
      <c r="AB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  <c r="AA774" s="49"/>
      <c r="AB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  <c r="AA775" s="49"/>
      <c r="AB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  <c r="AA776" s="49"/>
      <c r="AB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  <c r="AA777" s="49"/>
      <c r="AB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  <c r="AA778" s="49"/>
      <c r="AB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  <c r="AA779" s="49"/>
      <c r="AB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  <c r="AA780" s="49"/>
      <c r="AB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  <c r="AA781" s="49"/>
      <c r="AB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  <c r="AA782" s="49"/>
      <c r="AB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  <c r="AA783" s="49"/>
      <c r="AB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  <c r="AA784" s="49"/>
      <c r="AB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  <c r="AA785" s="49"/>
      <c r="AB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  <c r="AA786" s="49"/>
      <c r="AB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  <c r="AA787" s="49"/>
      <c r="AB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  <c r="AA788" s="49"/>
      <c r="AB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  <c r="AA789" s="49"/>
      <c r="AB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  <c r="AA790" s="49"/>
      <c r="AB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  <c r="AA791" s="49"/>
      <c r="AB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  <c r="AA792" s="49"/>
      <c r="AB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  <c r="AA793" s="49"/>
      <c r="AB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  <c r="AA794" s="49"/>
      <c r="AB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  <c r="AA795" s="49"/>
      <c r="AB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  <c r="AA796" s="49"/>
      <c r="AB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  <c r="AA797" s="49"/>
      <c r="AB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  <c r="AA798" s="49"/>
      <c r="AB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  <c r="AA799" s="49"/>
      <c r="AB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  <c r="AA800" s="49"/>
      <c r="AB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  <c r="AA801" s="49"/>
      <c r="AB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  <c r="AA802" s="49"/>
      <c r="AB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  <c r="AA803" s="49"/>
      <c r="AB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  <c r="AA804" s="49"/>
      <c r="AB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  <c r="AA805" s="49"/>
      <c r="AB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  <c r="AA806" s="49"/>
      <c r="AB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  <c r="AA807" s="49"/>
      <c r="AB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  <c r="AA808" s="49"/>
      <c r="AB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  <c r="AA809" s="49"/>
      <c r="AB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  <c r="AA810" s="49"/>
      <c r="AB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  <c r="AA811" s="49"/>
      <c r="AB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  <c r="AA812" s="49"/>
      <c r="AB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  <c r="AA813" s="49"/>
      <c r="AB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  <c r="AA814" s="49"/>
      <c r="AB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  <c r="AA815" s="49"/>
      <c r="AB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  <c r="AA816" s="49"/>
      <c r="AB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  <c r="AA817" s="49"/>
      <c r="AB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  <c r="AA818" s="49"/>
      <c r="AB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  <c r="AA819" s="49"/>
      <c r="AB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  <c r="AA820" s="49"/>
      <c r="AB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  <c r="AA821" s="49"/>
      <c r="AB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  <c r="AA822" s="49"/>
      <c r="AB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  <c r="AA823" s="49"/>
      <c r="AB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  <c r="AA824" s="49"/>
      <c r="AB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  <c r="AA825" s="49"/>
      <c r="AB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  <c r="AA826" s="49"/>
      <c r="AB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  <c r="AA827" s="49"/>
      <c r="AB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  <c r="AA828" s="49"/>
      <c r="AB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  <c r="AA829" s="49"/>
      <c r="AB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  <c r="AA830" s="49"/>
      <c r="AB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  <c r="AA831" s="49"/>
      <c r="AB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  <c r="AA832" s="49"/>
      <c r="AB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  <c r="AA833" s="49"/>
      <c r="AB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  <c r="AA834" s="49"/>
      <c r="AB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  <c r="AA835" s="49"/>
      <c r="AB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  <c r="AA836" s="49"/>
      <c r="AB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  <c r="AA837" s="49"/>
      <c r="AB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  <c r="AA838" s="49"/>
      <c r="AB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  <c r="AA839" s="49"/>
      <c r="AB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  <c r="AA840" s="49"/>
      <c r="AB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  <c r="AA841" s="49"/>
      <c r="AB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  <c r="AA842" s="49"/>
      <c r="AB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  <c r="AA843" s="49"/>
      <c r="AB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  <c r="AA844" s="49"/>
      <c r="AB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  <c r="AA845" s="49"/>
      <c r="AB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  <c r="AA846" s="49"/>
      <c r="AB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  <c r="AA847" s="49"/>
      <c r="AB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  <c r="AA848" s="49"/>
      <c r="AB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  <c r="AA849" s="49"/>
      <c r="AB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  <c r="AA850" s="49"/>
      <c r="AB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  <c r="AA851" s="49"/>
      <c r="AB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  <c r="AA852" s="49"/>
      <c r="AB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  <c r="AA853" s="49"/>
      <c r="AB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  <c r="AA854" s="49"/>
      <c r="AB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  <c r="AA855" s="49"/>
      <c r="AB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  <c r="AA856" s="49"/>
      <c r="AB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  <c r="AA857" s="49"/>
      <c r="AB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  <c r="AA858" s="49"/>
      <c r="AB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  <c r="AA859" s="49"/>
      <c r="AB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  <c r="AA860" s="49"/>
      <c r="AB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  <c r="AA861" s="49"/>
      <c r="AB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  <c r="AA862" s="49"/>
      <c r="AB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  <c r="AA863" s="49"/>
      <c r="AB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  <c r="AA864" s="49"/>
      <c r="AB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  <c r="AA865" s="49"/>
      <c r="AB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  <c r="AA866" s="49"/>
      <c r="AB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  <c r="AA867" s="49"/>
      <c r="AB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  <c r="AA868" s="49"/>
      <c r="AB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  <c r="AA869" s="49"/>
      <c r="AB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  <c r="AA870" s="49"/>
      <c r="AB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  <c r="AA871" s="49"/>
      <c r="AB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  <c r="AA872" s="49"/>
      <c r="AB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  <c r="AA873" s="49"/>
      <c r="AB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  <c r="AA874" s="49"/>
      <c r="AB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  <c r="AA875" s="49"/>
      <c r="AB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  <c r="AA876" s="49"/>
      <c r="AB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  <c r="AA877" s="49"/>
      <c r="AB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  <c r="AA878" s="49"/>
      <c r="AB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  <c r="AA879" s="49"/>
      <c r="AB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  <c r="AA880" s="49"/>
      <c r="AB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  <c r="AA881" s="49"/>
      <c r="AB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  <c r="AA882" s="49"/>
      <c r="AB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  <c r="AA883" s="49"/>
      <c r="AB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  <c r="AA884" s="49"/>
      <c r="AB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  <c r="AA885" s="49"/>
      <c r="AB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  <c r="AA886" s="49"/>
      <c r="AB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  <c r="AA887" s="49"/>
      <c r="AB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  <c r="AA888" s="49"/>
      <c r="AB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  <c r="AA889" s="49"/>
      <c r="AB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  <c r="AA890" s="49"/>
      <c r="AB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  <c r="AA891" s="49"/>
      <c r="AB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  <c r="AA892" s="49"/>
      <c r="AB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  <c r="AA893" s="49"/>
      <c r="AB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  <c r="AA894" s="49"/>
      <c r="AB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  <c r="AA895" s="49"/>
      <c r="AB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  <c r="AA896" s="49"/>
      <c r="AB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  <c r="AA897" s="49"/>
      <c r="AB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  <c r="AA898" s="49"/>
      <c r="AB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  <c r="AA899" s="49"/>
      <c r="AB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  <c r="AA900" s="49"/>
      <c r="AB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  <c r="AA901" s="49"/>
      <c r="AB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  <c r="AA902" s="49"/>
      <c r="AB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  <c r="AA903" s="49"/>
      <c r="AB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  <c r="AA904" s="49"/>
      <c r="AB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  <c r="AA905" s="49"/>
      <c r="AB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  <c r="AA906" s="49"/>
      <c r="AB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  <c r="AA907" s="49"/>
      <c r="AB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  <c r="AA908" s="49"/>
      <c r="AB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  <c r="AA909" s="49"/>
      <c r="AB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  <c r="AA910" s="49"/>
      <c r="AB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  <c r="AA911" s="49"/>
      <c r="AB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  <c r="AA912" s="49"/>
      <c r="AB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  <c r="AA913" s="49"/>
      <c r="AB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  <c r="AA914" s="49"/>
      <c r="AB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  <c r="AA915" s="49"/>
      <c r="AB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  <c r="AA916" s="49"/>
      <c r="AB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  <c r="AA917" s="49"/>
      <c r="AB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  <c r="AA918" s="49"/>
      <c r="AB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  <c r="AA919" s="49"/>
      <c r="AB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  <c r="AA920" s="49"/>
      <c r="AB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  <c r="AA921" s="49"/>
      <c r="AB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  <c r="AA922" s="49"/>
      <c r="AB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  <c r="AA923" s="49"/>
      <c r="AB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  <c r="AA924" s="49"/>
      <c r="AB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  <c r="AA925" s="49"/>
      <c r="AB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  <c r="AA926" s="49"/>
      <c r="AB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  <c r="AA927" s="49"/>
      <c r="AB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  <c r="AA928" s="49"/>
      <c r="AB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  <c r="AA929" s="49"/>
      <c r="AB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  <c r="AA930" s="49"/>
      <c r="AB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  <c r="AA931" s="49"/>
      <c r="AB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  <c r="AA932" s="49"/>
      <c r="AB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  <c r="AA933" s="49"/>
      <c r="AB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  <c r="AA934" s="49"/>
      <c r="AB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  <c r="AA935" s="49"/>
      <c r="AB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  <c r="AA936" s="49"/>
      <c r="AB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  <c r="AA937" s="49"/>
      <c r="AB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  <c r="AA938" s="49"/>
      <c r="AB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  <c r="AA939" s="49"/>
      <c r="AB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  <c r="AA940" s="49"/>
      <c r="AB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  <c r="AA941" s="49"/>
      <c r="AB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  <c r="AA942" s="49"/>
      <c r="AB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  <c r="AA943" s="49"/>
      <c r="AB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  <c r="AA944" s="49"/>
      <c r="AB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  <c r="AA945" s="49"/>
      <c r="AB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  <c r="AA946" s="49"/>
      <c r="AB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  <c r="AA947" s="49"/>
      <c r="AB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  <c r="AA948" s="49"/>
      <c r="AB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  <c r="AA949" s="49"/>
      <c r="AB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  <c r="AA950" s="49"/>
      <c r="AB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  <c r="AA951" s="49"/>
      <c r="AB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  <c r="AA952" s="49"/>
      <c r="AB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  <c r="AA953" s="49"/>
      <c r="AB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  <c r="AA954" s="49"/>
      <c r="AB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  <c r="AA955" s="49"/>
      <c r="AB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  <c r="AA956" s="49"/>
      <c r="AB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  <c r="AA957" s="49"/>
      <c r="AB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  <c r="AA958" s="49"/>
      <c r="AB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  <c r="AA959" s="49"/>
      <c r="AB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  <c r="AA960" s="49"/>
      <c r="AB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  <c r="AA961" s="49"/>
      <c r="AB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  <c r="AA962" s="49"/>
      <c r="AB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  <c r="AA963" s="49"/>
      <c r="AB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  <c r="AA964" s="49"/>
      <c r="AB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  <c r="AA965" s="49"/>
      <c r="AB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  <c r="AA966" s="49"/>
      <c r="AB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  <c r="AA967" s="49"/>
      <c r="AB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  <c r="AA968" s="49"/>
      <c r="AB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  <c r="AA969" s="49"/>
      <c r="AB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  <c r="AA970" s="49"/>
      <c r="AB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  <c r="AA971" s="49"/>
      <c r="AB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  <c r="AA972" s="49"/>
      <c r="AB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  <c r="AA973" s="49"/>
      <c r="AB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  <c r="AA974" s="49"/>
      <c r="AB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  <c r="AA975" s="49"/>
      <c r="AB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  <c r="AA976" s="49"/>
      <c r="AB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  <c r="AA977" s="49"/>
      <c r="AB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  <c r="AA978" s="49"/>
      <c r="AB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  <c r="AA979" s="49"/>
      <c r="AB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  <c r="AA980" s="49"/>
      <c r="AB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  <c r="AA981" s="49"/>
      <c r="AB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  <c r="AA982" s="49"/>
      <c r="AB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  <c r="AA983" s="49"/>
      <c r="AB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  <c r="AA984" s="49"/>
      <c r="AB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  <c r="AA985" s="49"/>
      <c r="AB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  <c r="AA986" s="49"/>
      <c r="AB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  <c r="AA987" s="49"/>
      <c r="AB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  <c r="AA988" s="49"/>
      <c r="AB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  <c r="AA989" s="49"/>
      <c r="AB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  <c r="AA990" s="49"/>
      <c r="AB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  <c r="AA991" s="49"/>
      <c r="AB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  <c r="AA992" s="49"/>
      <c r="AB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  <c r="AA993" s="49"/>
      <c r="AB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  <c r="AA994" s="49"/>
      <c r="AB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  <c r="AA995" s="49"/>
      <c r="AB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  <c r="AA996" s="49"/>
      <c r="AB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  <c r="AA997" s="49"/>
      <c r="AB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  <c r="AA998" s="49"/>
      <c r="AB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  <c r="AA999" s="49"/>
      <c r="AB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  <c r="AA1000" s="49"/>
      <c r="AB1000" s="49"/>
    </row>
    <row r="1001">
      <c r="A1001" s="49"/>
      <c r="B1001" s="49"/>
      <c r="C1001" s="49"/>
      <c r="D1001" s="49"/>
      <c r="E1001" s="49"/>
      <c r="F1001" s="49"/>
      <c r="G1001" s="49"/>
      <c r="H1001" s="49"/>
      <c r="I1001" s="49"/>
      <c r="J1001" s="49"/>
      <c r="K1001" s="49"/>
      <c r="L1001" s="49"/>
      <c r="M1001" s="49"/>
      <c r="N1001" s="49"/>
      <c r="O1001" s="49"/>
      <c r="P1001" s="49"/>
      <c r="Q1001" s="49"/>
      <c r="R1001" s="49"/>
      <c r="S1001" s="49"/>
      <c r="T1001" s="49"/>
      <c r="U1001" s="49"/>
      <c r="V1001" s="49"/>
      <c r="W1001" s="49"/>
      <c r="X1001" s="49"/>
      <c r="Y1001" s="49"/>
      <c r="Z1001" s="49"/>
      <c r="AA1001" s="49"/>
      <c r="AB1001" s="49"/>
    </row>
    <row r="1002">
      <c r="A1002" s="49"/>
      <c r="B1002" s="49"/>
      <c r="C1002" s="49"/>
      <c r="D1002" s="49"/>
      <c r="E1002" s="49"/>
      <c r="F1002" s="49"/>
      <c r="G1002" s="49"/>
      <c r="H1002" s="49"/>
      <c r="I1002" s="49"/>
      <c r="J1002" s="49"/>
      <c r="K1002" s="49"/>
      <c r="L1002" s="49"/>
      <c r="M1002" s="49"/>
      <c r="N1002" s="49"/>
      <c r="O1002" s="49"/>
      <c r="P1002" s="49"/>
      <c r="Q1002" s="49"/>
      <c r="R1002" s="49"/>
      <c r="S1002" s="49"/>
      <c r="T1002" s="49"/>
      <c r="U1002" s="49"/>
      <c r="V1002" s="49"/>
      <c r="W1002" s="49"/>
      <c r="X1002" s="49"/>
      <c r="Y1002" s="49"/>
      <c r="Z1002" s="49"/>
      <c r="AA1002" s="49"/>
      <c r="AB1002" s="49"/>
    </row>
    <row r="1003">
      <c r="A1003" s="49"/>
      <c r="B1003" s="49"/>
      <c r="C1003" s="49"/>
      <c r="D1003" s="49"/>
      <c r="E1003" s="49"/>
      <c r="F1003" s="49"/>
      <c r="G1003" s="49"/>
      <c r="H1003" s="49"/>
      <c r="I1003" s="49"/>
      <c r="J1003" s="49"/>
      <c r="K1003" s="49"/>
      <c r="L1003" s="49"/>
      <c r="M1003" s="49"/>
      <c r="N1003" s="49"/>
      <c r="O1003" s="49"/>
      <c r="P1003" s="49"/>
      <c r="Q1003" s="49"/>
      <c r="R1003" s="49"/>
      <c r="S1003" s="49"/>
      <c r="T1003" s="49"/>
      <c r="U1003" s="49"/>
      <c r="V1003" s="49"/>
      <c r="W1003" s="49"/>
      <c r="X1003" s="49"/>
      <c r="Y1003" s="49"/>
      <c r="Z1003" s="49"/>
      <c r="AA1003" s="49"/>
      <c r="AB1003" s="49"/>
    </row>
    <row r="1004">
      <c r="A1004" s="49"/>
      <c r="B1004" s="49"/>
      <c r="C1004" s="49"/>
      <c r="D1004" s="49"/>
      <c r="E1004" s="49"/>
      <c r="F1004" s="49"/>
      <c r="G1004" s="49"/>
      <c r="H1004" s="49"/>
      <c r="I1004" s="49"/>
      <c r="J1004" s="49"/>
      <c r="K1004" s="49"/>
      <c r="L1004" s="49"/>
      <c r="M1004" s="49"/>
      <c r="N1004" s="49"/>
      <c r="O1004" s="49"/>
      <c r="P1004" s="49"/>
      <c r="Q1004" s="49"/>
      <c r="R1004" s="49"/>
      <c r="S1004" s="49"/>
      <c r="T1004" s="49"/>
      <c r="U1004" s="49"/>
      <c r="V1004" s="49"/>
      <c r="W1004" s="49"/>
      <c r="X1004" s="49"/>
      <c r="Y1004" s="49"/>
      <c r="Z1004" s="49"/>
      <c r="AA1004" s="49"/>
      <c r="AB1004" s="49"/>
    </row>
    <row r="1005">
      <c r="A1005" s="49"/>
      <c r="B1005" s="49"/>
      <c r="C1005" s="49"/>
      <c r="D1005" s="49"/>
      <c r="E1005" s="49"/>
      <c r="F1005" s="49"/>
      <c r="G1005" s="49"/>
      <c r="H1005" s="49"/>
      <c r="I1005" s="49"/>
      <c r="J1005" s="49"/>
      <c r="K1005" s="49"/>
      <c r="L1005" s="49"/>
      <c r="M1005" s="49"/>
      <c r="N1005" s="49"/>
      <c r="O1005" s="49"/>
      <c r="P1005" s="49"/>
      <c r="Q1005" s="49"/>
      <c r="R1005" s="49"/>
      <c r="S1005" s="49"/>
      <c r="T1005" s="49"/>
      <c r="U1005" s="49"/>
      <c r="V1005" s="49"/>
      <c r="W1005" s="49"/>
      <c r="X1005" s="49"/>
      <c r="Y1005" s="49"/>
      <c r="Z1005" s="49"/>
      <c r="AA1005" s="49"/>
      <c r="AB1005" s="49"/>
    </row>
    <row r="1006">
      <c r="A1006" s="49"/>
      <c r="B1006" s="49"/>
      <c r="C1006" s="49"/>
      <c r="D1006" s="49"/>
      <c r="E1006" s="49"/>
      <c r="F1006" s="49"/>
      <c r="G1006" s="49"/>
      <c r="H1006" s="49"/>
      <c r="I1006" s="49"/>
      <c r="J1006" s="49"/>
      <c r="K1006" s="49"/>
      <c r="L1006" s="49"/>
      <c r="M1006" s="49"/>
      <c r="N1006" s="49"/>
      <c r="O1006" s="49"/>
      <c r="P1006" s="49"/>
      <c r="Q1006" s="49"/>
      <c r="R1006" s="49"/>
      <c r="S1006" s="49"/>
      <c r="T1006" s="49"/>
      <c r="U1006" s="49"/>
      <c r="V1006" s="49"/>
      <c r="W1006" s="49"/>
      <c r="X1006" s="49"/>
      <c r="Y1006" s="49"/>
      <c r="Z1006" s="49"/>
      <c r="AA1006" s="49"/>
      <c r="AB1006" s="49"/>
    </row>
    <row r="1007">
      <c r="A1007" s="49"/>
      <c r="B1007" s="49"/>
      <c r="C1007" s="49"/>
      <c r="D1007" s="49"/>
      <c r="E1007" s="49"/>
      <c r="F1007" s="49"/>
      <c r="G1007" s="49"/>
      <c r="H1007" s="49"/>
      <c r="I1007" s="49"/>
      <c r="J1007" s="49"/>
      <c r="K1007" s="49"/>
      <c r="L1007" s="49"/>
      <c r="M1007" s="49"/>
      <c r="N1007" s="49"/>
      <c r="O1007" s="49"/>
      <c r="P1007" s="49"/>
      <c r="Q1007" s="49"/>
      <c r="R1007" s="49"/>
      <c r="S1007" s="49"/>
      <c r="T1007" s="49"/>
      <c r="U1007" s="49"/>
      <c r="V1007" s="49"/>
      <c r="W1007" s="49"/>
      <c r="X1007" s="49"/>
      <c r="Y1007" s="49"/>
      <c r="Z1007" s="49"/>
      <c r="AA1007" s="49"/>
      <c r="AB1007" s="49"/>
    </row>
    <row r="1008">
      <c r="A1008" s="49"/>
      <c r="B1008" s="49"/>
      <c r="C1008" s="49"/>
      <c r="D1008" s="49"/>
      <c r="E1008" s="49"/>
      <c r="F1008" s="49"/>
      <c r="G1008" s="49"/>
      <c r="H1008" s="49"/>
      <c r="I1008" s="49"/>
      <c r="J1008" s="49"/>
      <c r="K1008" s="49"/>
      <c r="L1008" s="49"/>
      <c r="M1008" s="49"/>
      <c r="N1008" s="49"/>
      <c r="O1008" s="49"/>
      <c r="P1008" s="49"/>
      <c r="Q1008" s="49"/>
      <c r="R1008" s="49"/>
      <c r="S1008" s="49"/>
      <c r="T1008" s="49"/>
      <c r="U1008" s="49"/>
      <c r="V1008" s="49"/>
      <c r="W1008" s="49"/>
      <c r="X1008" s="49"/>
      <c r="Y1008" s="49"/>
      <c r="Z1008" s="49"/>
      <c r="AA1008" s="49"/>
      <c r="AB1008" s="49"/>
    </row>
    <row r="1009">
      <c r="A1009" s="49"/>
      <c r="B1009" s="49"/>
      <c r="C1009" s="49"/>
      <c r="D1009" s="49"/>
      <c r="E1009" s="49"/>
      <c r="F1009" s="49"/>
      <c r="G1009" s="49"/>
      <c r="H1009" s="49"/>
      <c r="I1009" s="49"/>
      <c r="J1009" s="49"/>
      <c r="K1009" s="49"/>
      <c r="L1009" s="49"/>
      <c r="M1009" s="49"/>
      <c r="N1009" s="49"/>
      <c r="O1009" s="49"/>
      <c r="P1009" s="49"/>
      <c r="Q1009" s="49"/>
      <c r="R1009" s="49"/>
      <c r="S1009" s="49"/>
      <c r="T1009" s="49"/>
      <c r="U1009" s="49"/>
      <c r="V1009" s="49"/>
      <c r="W1009" s="49"/>
      <c r="X1009" s="49"/>
      <c r="Y1009" s="49"/>
      <c r="Z1009" s="49"/>
      <c r="AA1009" s="49"/>
      <c r="AB1009" s="49"/>
    </row>
    <row r="1010">
      <c r="A1010" s="49"/>
      <c r="B1010" s="49"/>
      <c r="C1010" s="49"/>
      <c r="D1010" s="49"/>
      <c r="E1010" s="49"/>
      <c r="F1010" s="49"/>
      <c r="G1010" s="49"/>
      <c r="H1010" s="49"/>
      <c r="I1010" s="49"/>
      <c r="J1010" s="49"/>
      <c r="K1010" s="49"/>
      <c r="L1010" s="49"/>
      <c r="M1010" s="49"/>
      <c r="N1010" s="49"/>
      <c r="O1010" s="49"/>
      <c r="P1010" s="49"/>
      <c r="Q1010" s="49"/>
      <c r="R1010" s="49"/>
      <c r="S1010" s="49"/>
      <c r="T1010" s="49"/>
      <c r="U1010" s="49"/>
      <c r="V1010" s="49"/>
      <c r="W1010" s="49"/>
      <c r="X1010" s="49"/>
      <c r="Y1010" s="49"/>
      <c r="Z1010" s="49"/>
      <c r="AA1010" s="49"/>
      <c r="AB1010" s="49"/>
    </row>
    <row r="1011">
      <c r="A1011" s="49"/>
      <c r="B1011" s="49"/>
      <c r="C1011" s="49"/>
      <c r="D1011" s="49"/>
      <c r="E1011" s="49"/>
      <c r="F1011" s="49"/>
      <c r="G1011" s="49"/>
      <c r="H1011" s="49"/>
      <c r="I1011" s="49"/>
      <c r="J1011" s="49"/>
      <c r="K1011" s="49"/>
      <c r="L1011" s="49"/>
      <c r="M1011" s="49"/>
      <c r="N1011" s="49"/>
      <c r="O1011" s="49"/>
      <c r="P1011" s="49"/>
      <c r="Q1011" s="49"/>
      <c r="R1011" s="49"/>
      <c r="S1011" s="49"/>
      <c r="T1011" s="49"/>
      <c r="U1011" s="49"/>
      <c r="V1011" s="49"/>
      <c r="W1011" s="49"/>
      <c r="X1011" s="49"/>
      <c r="Y1011" s="49"/>
      <c r="Z1011" s="49"/>
      <c r="AA1011" s="49"/>
      <c r="AB1011" s="49"/>
    </row>
    <row r="1012">
      <c r="A1012" s="49"/>
      <c r="B1012" s="49"/>
      <c r="C1012" s="49"/>
      <c r="D1012" s="49"/>
      <c r="E1012" s="49"/>
      <c r="F1012" s="49"/>
      <c r="G1012" s="49"/>
      <c r="H1012" s="49"/>
      <c r="I1012" s="49"/>
      <c r="J1012" s="49"/>
      <c r="K1012" s="49"/>
      <c r="L1012" s="49"/>
      <c r="M1012" s="49"/>
      <c r="N1012" s="49"/>
      <c r="O1012" s="49"/>
      <c r="P1012" s="49"/>
      <c r="Q1012" s="49"/>
      <c r="R1012" s="49"/>
      <c r="S1012" s="49"/>
      <c r="T1012" s="49"/>
      <c r="U1012" s="49"/>
      <c r="V1012" s="49"/>
      <c r="W1012" s="49"/>
      <c r="X1012" s="49"/>
      <c r="Y1012" s="49"/>
      <c r="Z1012" s="49"/>
      <c r="AA1012" s="49"/>
      <c r="AB1012" s="49"/>
    </row>
    <row r="1013">
      <c r="A1013" s="49"/>
      <c r="B1013" s="49"/>
      <c r="C1013" s="49"/>
      <c r="D1013" s="49"/>
      <c r="E1013" s="49"/>
      <c r="F1013" s="49"/>
      <c r="G1013" s="49"/>
      <c r="H1013" s="49"/>
      <c r="I1013" s="49"/>
      <c r="J1013" s="49"/>
      <c r="K1013" s="49"/>
      <c r="L1013" s="49"/>
      <c r="M1013" s="49"/>
      <c r="N1013" s="49"/>
      <c r="O1013" s="49"/>
      <c r="P1013" s="49"/>
      <c r="Q1013" s="49"/>
      <c r="R1013" s="49"/>
      <c r="S1013" s="49"/>
      <c r="T1013" s="49"/>
      <c r="U1013" s="49"/>
      <c r="V1013" s="49"/>
      <c r="W1013" s="49"/>
      <c r="X1013" s="49"/>
      <c r="Y1013" s="49"/>
      <c r="Z1013" s="49"/>
      <c r="AA1013" s="49"/>
      <c r="AB1013" s="49"/>
    </row>
    <row r="1014">
      <c r="A1014" s="49"/>
      <c r="B1014" s="49"/>
      <c r="C1014" s="49"/>
      <c r="D1014" s="49"/>
      <c r="E1014" s="49"/>
      <c r="F1014" s="49"/>
      <c r="G1014" s="49"/>
      <c r="H1014" s="49"/>
      <c r="I1014" s="49"/>
      <c r="J1014" s="49"/>
      <c r="K1014" s="49"/>
      <c r="L1014" s="49"/>
      <c r="M1014" s="49"/>
      <c r="N1014" s="49"/>
      <c r="O1014" s="49"/>
      <c r="P1014" s="49"/>
      <c r="Q1014" s="49"/>
      <c r="R1014" s="49"/>
      <c r="S1014" s="49"/>
      <c r="T1014" s="49"/>
      <c r="U1014" s="49"/>
      <c r="V1014" s="49"/>
      <c r="W1014" s="49"/>
      <c r="X1014" s="49"/>
      <c r="Y1014" s="49"/>
      <c r="Z1014" s="49"/>
      <c r="AA1014" s="49"/>
      <c r="AB1014" s="49"/>
    </row>
    <row r="1015">
      <c r="A1015" s="49"/>
      <c r="B1015" s="49"/>
      <c r="C1015" s="49"/>
      <c r="D1015" s="49"/>
      <c r="E1015" s="49"/>
      <c r="F1015" s="49"/>
      <c r="G1015" s="49"/>
      <c r="H1015" s="49"/>
      <c r="I1015" s="49"/>
      <c r="J1015" s="49"/>
      <c r="K1015" s="49"/>
      <c r="L1015" s="49"/>
      <c r="M1015" s="49"/>
      <c r="N1015" s="49"/>
      <c r="O1015" s="49"/>
      <c r="P1015" s="49"/>
      <c r="Q1015" s="49"/>
      <c r="R1015" s="49"/>
      <c r="S1015" s="49"/>
      <c r="T1015" s="49"/>
      <c r="U1015" s="49"/>
      <c r="V1015" s="49"/>
      <c r="W1015" s="49"/>
      <c r="X1015" s="49"/>
      <c r="Y1015" s="49"/>
      <c r="Z1015" s="49"/>
      <c r="AA1015" s="49"/>
      <c r="AB1015" s="49"/>
    </row>
    <row r="1016">
      <c r="A1016" s="49"/>
      <c r="B1016" s="49"/>
      <c r="C1016" s="49"/>
      <c r="D1016" s="49"/>
      <c r="E1016" s="49"/>
      <c r="F1016" s="49"/>
      <c r="G1016" s="49"/>
      <c r="H1016" s="49"/>
      <c r="I1016" s="49"/>
      <c r="J1016" s="49"/>
      <c r="K1016" s="49"/>
      <c r="L1016" s="49"/>
      <c r="M1016" s="49"/>
      <c r="N1016" s="49"/>
      <c r="O1016" s="49"/>
      <c r="P1016" s="49"/>
      <c r="Q1016" s="49"/>
      <c r="R1016" s="49"/>
      <c r="S1016" s="49"/>
      <c r="T1016" s="49"/>
      <c r="U1016" s="49"/>
      <c r="V1016" s="49"/>
      <c r="W1016" s="49"/>
      <c r="X1016" s="49"/>
      <c r="Y1016" s="49"/>
      <c r="Z1016" s="49"/>
      <c r="AA1016" s="49"/>
      <c r="AB1016" s="49"/>
    </row>
    <row r="1017">
      <c r="A1017" s="49"/>
      <c r="B1017" s="49"/>
      <c r="C1017" s="49"/>
      <c r="D1017" s="49"/>
      <c r="E1017" s="49"/>
      <c r="F1017" s="49"/>
      <c r="G1017" s="49"/>
      <c r="H1017" s="49"/>
      <c r="I1017" s="49"/>
      <c r="J1017" s="49"/>
      <c r="K1017" s="49"/>
      <c r="L1017" s="49"/>
      <c r="M1017" s="49"/>
      <c r="N1017" s="49"/>
      <c r="O1017" s="49"/>
      <c r="P1017" s="49"/>
      <c r="Q1017" s="49"/>
      <c r="R1017" s="49"/>
      <c r="S1017" s="49"/>
      <c r="T1017" s="49"/>
      <c r="U1017" s="49"/>
      <c r="V1017" s="49"/>
      <c r="W1017" s="49"/>
      <c r="X1017" s="49"/>
      <c r="Y1017" s="49"/>
      <c r="Z1017" s="49"/>
      <c r="AA1017" s="49"/>
      <c r="AB1017" s="49"/>
    </row>
    <row r="1018">
      <c r="A1018" s="49"/>
      <c r="B1018" s="49"/>
      <c r="C1018" s="49"/>
      <c r="D1018" s="49"/>
      <c r="E1018" s="49"/>
      <c r="F1018" s="49"/>
      <c r="G1018" s="49"/>
      <c r="H1018" s="49"/>
      <c r="I1018" s="49"/>
      <c r="J1018" s="49"/>
      <c r="K1018" s="49"/>
      <c r="L1018" s="49"/>
      <c r="M1018" s="49"/>
      <c r="N1018" s="49"/>
      <c r="O1018" s="49"/>
      <c r="P1018" s="49"/>
      <c r="Q1018" s="49"/>
      <c r="R1018" s="49"/>
      <c r="S1018" s="49"/>
      <c r="T1018" s="49"/>
      <c r="U1018" s="49"/>
      <c r="V1018" s="49"/>
      <c r="W1018" s="49"/>
      <c r="X1018" s="49"/>
      <c r="Y1018" s="49"/>
      <c r="Z1018" s="49"/>
      <c r="AA1018" s="49"/>
      <c r="AB1018" s="49"/>
    </row>
    <row r="1019">
      <c r="A1019" s="49"/>
      <c r="B1019" s="49"/>
      <c r="C1019" s="49"/>
      <c r="D1019" s="49"/>
      <c r="E1019" s="49"/>
      <c r="F1019" s="49"/>
      <c r="G1019" s="49"/>
      <c r="H1019" s="49"/>
      <c r="I1019" s="49"/>
      <c r="J1019" s="49"/>
      <c r="K1019" s="49"/>
      <c r="L1019" s="49"/>
      <c r="M1019" s="49"/>
      <c r="N1019" s="49"/>
      <c r="O1019" s="49"/>
      <c r="P1019" s="49"/>
      <c r="Q1019" s="49"/>
      <c r="R1019" s="49"/>
      <c r="S1019" s="49"/>
      <c r="T1019" s="49"/>
      <c r="U1019" s="49"/>
      <c r="V1019" s="49"/>
      <c r="W1019" s="49"/>
      <c r="X1019" s="49"/>
      <c r="Y1019" s="49"/>
      <c r="Z1019" s="49"/>
      <c r="AA1019" s="49"/>
      <c r="AB1019" s="49"/>
    </row>
    <row r="1020">
      <c r="A1020" s="49"/>
      <c r="B1020" s="49"/>
      <c r="C1020" s="49"/>
      <c r="D1020" s="49"/>
      <c r="E1020" s="49"/>
      <c r="F1020" s="49"/>
      <c r="G1020" s="49"/>
      <c r="H1020" s="49"/>
      <c r="I1020" s="49"/>
      <c r="J1020" s="49"/>
      <c r="K1020" s="49"/>
      <c r="L1020" s="49"/>
      <c r="M1020" s="49"/>
      <c r="N1020" s="49"/>
      <c r="O1020" s="49"/>
      <c r="P1020" s="49"/>
      <c r="Q1020" s="49"/>
      <c r="R1020" s="49"/>
      <c r="S1020" s="49"/>
      <c r="T1020" s="49"/>
      <c r="U1020" s="49"/>
      <c r="V1020" s="49"/>
      <c r="W1020" s="49"/>
      <c r="X1020" s="49"/>
      <c r="Y1020" s="49"/>
      <c r="Z1020" s="49"/>
      <c r="AA1020" s="49"/>
      <c r="AB1020" s="49"/>
    </row>
    <row r="1021">
      <c r="A1021" s="49"/>
      <c r="B1021" s="49"/>
      <c r="C1021" s="49"/>
      <c r="D1021" s="49"/>
      <c r="E1021" s="49"/>
      <c r="F1021" s="49"/>
      <c r="G1021" s="49"/>
      <c r="H1021" s="49"/>
      <c r="I1021" s="49"/>
      <c r="J1021" s="49"/>
      <c r="K1021" s="49"/>
      <c r="L1021" s="49"/>
      <c r="M1021" s="49"/>
      <c r="N1021" s="49"/>
      <c r="O1021" s="49"/>
      <c r="P1021" s="49"/>
      <c r="Q1021" s="49"/>
      <c r="R1021" s="49"/>
      <c r="S1021" s="49"/>
      <c r="T1021" s="49"/>
      <c r="U1021" s="49"/>
      <c r="V1021" s="49"/>
      <c r="W1021" s="49"/>
      <c r="X1021" s="49"/>
      <c r="Y1021" s="49"/>
      <c r="Z1021" s="49"/>
      <c r="AA1021" s="49"/>
      <c r="AB1021" s="49"/>
    </row>
    <row r="1022">
      <c r="A1022" s="49"/>
      <c r="B1022" s="49"/>
      <c r="C1022" s="49"/>
      <c r="D1022" s="49"/>
      <c r="E1022" s="49"/>
      <c r="F1022" s="49"/>
      <c r="G1022" s="49"/>
      <c r="H1022" s="49"/>
      <c r="I1022" s="49"/>
      <c r="J1022" s="49"/>
      <c r="K1022" s="49"/>
      <c r="L1022" s="49"/>
      <c r="M1022" s="49"/>
      <c r="N1022" s="49"/>
      <c r="O1022" s="49"/>
      <c r="P1022" s="49"/>
      <c r="Q1022" s="49"/>
      <c r="R1022" s="49"/>
      <c r="S1022" s="49"/>
      <c r="T1022" s="49"/>
      <c r="U1022" s="49"/>
      <c r="V1022" s="49"/>
      <c r="W1022" s="49"/>
      <c r="X1022" s="49"/>
      <c r="Y1022" s="49"/>
      <c r="Z1022" s="49"/>
      <c r="AA1022" s="49"/>
      <c r="AB1022" s="49"/>
    </row>
    <row r="1023">
      <c r="A1023" s="49"/>
      <c r="B1023" s="49"/>
      <c r="C1023" s="49"/>
      <c r="D1023" s="49"/>
      <c r="E1023" s="49"/>
      <c r="F1023" s="49"/>
      <c r="G1023" s="49"/>
      <c r="H1023" s="49"/>
      <c r="I1023" s="49"/>
      <c r="J1023" s="49"/>
      <c r="K1023" s="49"/>
      <c r="L1023" s="49"/>
      <c r="M1023" s="49"/>
      <c r="N1023" s="49"/>
      <c r="O1023" s="49"/>
      <c r="P1023" s="49"/>
      <c r="Q1023" s="49"/>
      <c r="R1023" s="49"/>
      <c r="S1023" s="49"/>
      <c r="T1023" s="49"/>
      <c r="U1023" s="49"/>
      <c r="V1023" s="49"/>
      <c r="W1023" s="49"/>
      <c r="X1023" s="49"/>
      <c r="Y1023" s="49"/>
      <c r="Z1023" s="49"/>
      <c r="AA1023" s="49"/>
      <c r="AB1023" s="49"/>
    </row>
    <row r="1024">
      <c r="A1024" s="49"/>
      <c r="B1024" s="49"/>
      <c r="C1024" s="49"/>
      <c r="D1024" s="49"/>
      <c r="E1024" s="49"/>
      <c r="F1024" s="49"/>
      <c r="G1024" s="49"/>
      <c r="H1024" s="49"/>
      <c r="I1024" s="49"/>
      <c r="J1024" s="49"/>
      <c r="K1024" s="49"/>
      <c r="L1024" s="49"/>
      <c r="M1024" s="49"/>
      <c r="N1024" s="49"/>
      <c r="O1024" s="49"/>
      <c r="P1024" s="49"/>
      <c r="Q1024" s="49"/>
      <c r="R1024" s="49"/>
      <c r="S1024" s="49"/>
      <c r="T1024" s="49"/>
      <c r="U1024" s="49"/>
      <c r="V1024" s="49"/>
      <c r="W1024" s="49"/>
      <c r="X1024" s="49"/>
      <c r="Y1024" s="49"/>
      <c r="Z1024" s="49"/>
      <c r="AA1024" s="49"/>
      <c r="AB1024" s="49"/>
    </row>
    <row r="1025">
      <c r="A1025" s="49"/>
      <c r="B1025" s="49"/>
      <c r="C1025" s="49"/>
      <c r="D1025" s="49"/>
      <c r="E1025" s="49"/>
      <c r="F1025" s="49"/>
      <c r="G1025" s="49"/>
      <c r="H1025" s="49"/>
      <c r="I1025" s="49"/>
      <c r="J1025" s="49"/>
      <c r="K1025" s="49"/>
      <c r="L1025" s="49"/>
      <c r="M1025" s="49"/>
      <c r="N1025" s="49"/>
      <c r="O1025" s="49"/>
      <c r="P1025" s="49"/>
      <c r="Q1025" s="49"/>
      <c r="R1025" s="49"/>
      <c r="S1025" s="49"/>
      <c r="T1025" s="49"/>
      <c r="U1025" s="49"/>
      <c r="V1025" s="49"/>
      <c r="W1025" s="49"/>
      <c r="X1025" s="49"/>
      <c r="Y1025" s="49"/>
      <c r="Z1025" s="49"/>
      <c r="AA1025" s="49"/>
      <c r="AB1025" s="49"/>
    </row>
    <row r="1026">
      <c r="A1026" s="49"/>
      <c r="B1026" s="49"/>
      <c r="C1026" s="49"/>
      <c r="D1026" s="49"/>
      <c r="E1026" s="49"/>
      <c r="F1026" s="49"/>
      <c r="G1026" s="49"/>
      <c r="H1026" s="49"/>
      <c r="I1026" s="49"/>
      <c r="J1026" s="49"/>
      <c r="K1026" s="49"/>
      <c r="L1026" s="49"/>
      <c r="M1026" s="49"/>
      <c r="N1026" s="49"/>
      <c r="O1026" s="49"/>
      <c r="P1026" s="49"/>
      <c r="Q1026" s="49"/>
      <c r="R1026" s="49"/>
      <c r="S1026" s="49"/>
      <c r="T1026" s="49"/>
      <c r="U1026" s="49"/>
      <c r="V1026" s="49"/>
      <c r="W1026" s="49"/>
      <c r="X1026" s="49"/>
      <c r="Y1026" s="49"/>
      <c r="Z1026" s="49"/>
      <c r="AA1026" s="49"/>
      <c r="AB1026" s="49"/>
    </row>
  </sheetData>
  <mergeCells count="13">
    <mergeCell ref="F70:L70"/>
    <mergeCell ref="F74:J74"/>
    <mergeCell ref="F76:J76"/>
    <mergeCell ref="F77:J78"/>
    <mergeCell ref="F79:J79"/>
    <mergeCell ref="F81:J81"/>
    <mergeCell ref="A4:D4"/>
    <mergeCell ref="K7:N7"/>
    <mergeCell ref="F19:I19"/>
    <mergeCell ref="F20:I20"/>
    <mergeCell ref="M20:N20"/>
    <mergeCell ref="I22:I24"/>
    <mergeCell ref="F54:L5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0" width="9.13"/>
    <col customWidth="1" min="11" max="11" width="28.38"/>
  </cols>
  <sheetData>
    <row r="1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</row>
    <row r="2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</row>
    <row r="3">
      <c r="A3" s="49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</row>
    <row r="4">
      <c r="A4" s="50"/>
      <c r="E4" s="49"/>
      <c r="F4" s="51"/>
      <c r="G4" s="51"/>
      <c r="H4" s="51"/>
      <c r="I4" s="50"/>
      <c r="J4" s="50"/>
      <c r="K4" s="50"/>
      <c r="L4" s="50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</row>
    <row r="5">
      <c r="A5" s="50"/>
      <c r="B5" s="50"/>
      <c r="C5" s="50"/>
      <c r="D5" s="50"/>
      <c r="E5" s="49"/>
      <c r="F5" s="51"/>
      <c r="G5" s="51"/>
      <c r="H5" s="49"/>
      <c r="I5" s="50"/>
      <c r="J5" s="50"/>
      <c r="K5" s="50"/>
      <c r="L5" s="50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</row>
    <row r="6">
      <c r="A6" s="50"/>
      <c r="B6" s="50"/>
      <c r="C6" s="50"/>
      <c r="D6" s="50"/>
      <c r="E6" s="49"/>
      <c r="F6" s="22"/>
      <c r="G6" s="4"/>
      <c r="H6" s="49"/>
      <c r="I6" s="50"/>
      <c r="J6" s="50"/>
      <c r="K6" s="50"/>
      <c r="L6" s="50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</row>
    <row r="7">
      <c r="A7" s="50"/>
      <c r="B7" s="50"/>
      <c r="C7" s="50"/>
      <c r="D7" s="50"/>
      <c r="E7" s="49"/>
      <c r="F7" s="22"/>
      <c r="G7" s="4"/>
      <c r="H7" s="49"/>
      <c r="I7" s="50"/>
      <c r="J7" s="50"/>
      <c r="K7" s="52" t="s">
        <v>63</v>
      </c>
      <c r="L7" s="53"/>
      <c r="M7" s="53"/>
      <c r="N7" s="54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</row>
    <row r="8">
      <c r="A8" s="50"/>
      <c r="B8" s="50"/>
      <c r="C8" s="50"/>
      <c r="D8" s="50"/>
      <c r="E8" s="49"/>
      <c r="F8" s="22"/>
      <c r="G8" s="4"/>
      <c r="H8" s="49"/>
      <c r="I8" s="50"/>
      <c r="J8" s="22"/>
      <c r="K8" s="55" t="s">
        <v>65</v>
      </c>
      <c r="L8" s="55" t="s">
        <v>66</v>
      </c>
      <c r="M8" s="9" t="s">
        <v>67</v>
      </c>
      <c r="N8" s="9" t="s">
        <v>68</v>
      </c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</row>
    <row r="9">
      <c r="A9" s="50"/>
      <c r="B9" s="50"/>
      <c r="C9" s="50"/>
      <c r="D9" s="50"/>
      <c r="E9" s="49"/>
      <c r="F9" s="22"/>
      <c r="G9" s="56"/>
      <c r="H9" s="49"/>
      <c r="I9" s="50"/>
      <c r="J9" s="22"/>
      <c r="K9" s="122" t="s">
        <v>70</v>
      </c>
      <c r="L9" s="122">
        <v>2020.0</v>
      </c>
      <c r="M9" s="83"/>
      <c r="N9" s="83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</row>
    <row r="10">
      <c r="A10" s="22"/>
      <c r="B10" s="61"/>
      <c r="C10" s="50"/>
      <c r="D10" s="50"/>
      <c r="E10" s="49"/>
      <c r="F10" s="22"/>
      <c r="G10" s="4"/>
      <c r="H10" s="49"/>
      <c r="I10" s="50"/>
      <c r="J10" s="22"/>
      <c r="K10" s="122" t="s">
        <v>71</v>
      </c>
      <c r="L10" s="122">
        <v>3500.0</v>
      </c>
      <c r="M10" s="83"/>
      <c r="N10" s="83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  <c r="AA10" s="49"/>
    </row>
    <row r="11">
      <c r="A11" s="22"/>
      <c r="B11" s="61"/>
      <c r="C11" s="50"/>
      <c r="D11" s="62"/>
      <c r="E11" s="49"/>
      <c r="F11" s="62"/>
      <c r="G11" s="51"/>
      <c r="H11" s="49"/>
      <c r="I11" s="50"/>
      <c r="J11" s="50"/>
      <c r="K11" s="122" t="s">
        <v>72</v>
      </c>
      <c r="L11" s="122">
        <v>7649.0</v>
      </c>
      <c r="M11" s="83"/>
      <c r="N11" s="83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</row>
    <row r="12">
      <c r="A12" s="22"/>
      <c r="B12" s="61"/>
      <c r="C12" s="50"/>
      <c r="D12" s="50"/>
      <c r="E12" s="49"/>
      <c r="F12" s="49"/>
      <c r="G12" s="49"/>
      <c r="H12" s="49"/>
      <c r="I12" s="50"/>
      <c r="J12" s="50"/>
      <c r="K12" s="122" t="s">
        <v>73</v>
      </c>
      <c r="L12" s="162">
        <v>1785.0</v>
      </c>
      <c r="M12" s="122"/>
      <c r="N12" s="83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</row>
    <row r="13">
      <c r="A13" s="22"/>
      <c r="B13" s="61"/>
      <c r="C13" s="50"/>
      <c r="D13" s="62"/>
      <c r="E13" s="49"/>
      <c r="F13" s="49"/>
      <c r="G13" s="49"/>
      <c r="H13" s="49"/>
      <c r="I13" s="50"/>
      <c r="J13" s="50"/>
      <c r="K13" s="122" t="s">
        <v>74</v>
      </c>
      <c r="L13" s="122">
        <v>1051.0</v>
      </c>
      <c r="M13" s="83"/>
      <c r="N13" s="83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  <c r="AA13" s="49"/>
    </row>
    <row r="14">
      <c r="A14" s="22"/>
      <c r="B14" s="61"/>
      <c r="C14" s="62"/>
      <c r="D14" s="22"/>
      <c r="E14" s="49"/>
      <c r="F14" s="49"/>
      <c r="G14" s="49"/>
      <c r="H14" s="49"/>
      <c r="I14" s="50"/>
      <c r="J14" s="50"/>
      <c r="K14" s="122" t="s">
        <v>75</v>
      </c>
      <c r="L14" s="122">
        <v>3000.0</v>
      </c>
      <c r="M14" s="83"/>
      <c r="N14" s="83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</row>
    <row r="15">
      <c r="A15" s="22"/>
      <c r="B15" s="61"/>
      <c r="C15" s="62"/>
      <c r="D15" s="22"/>
      <c r="E15" s="49"/>
      <c r="F15" s="49"/>
      <c r="G15" s="49"/>
      <c r="H15" s="49"/>
      <c r="I15" s="50"/>
      <c r="J15" s="50"/>
      <c r="K15" s="122" t="s">
        <v>76</v>
      </c>
      <c r="L15" s="122">
        <v>3000.0</v>
      </c>
      <c r="M15" s="83"/>
      <c r="N15" s="162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</row>
    <row r="16">
      <c r="A16" s="22"/>
      <c r="B16" s="61"/>
      <c r="C16" s="62"/>
      <c r="D16" s="22"/>
      <c r="E16" s="49"/>
      <c r="F16" s="49"/>
      <c r="G16" s="49"/>
      <c r="H16" s="49"/>
      <c r="I16" s="50"/>
      <c r="J16" s="50"/>
      <c r="K16" s="123" t="s">
        <v>134</v>
      </c>
      <c r="L16" s="123">
        <v>2000.0</v>
      </c>
      <c r="M16" s="83"/>
      <c r="N16" s="83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/>
    </row>
    <row r="17">
      <c r="A17" s="22"/>
      <c r="B17" s="61"/>
      <c r="C17" s="62"/>
      <c r="D17" s="22"/>
      <c r="E17" s="49"/>
      <c r="F17" s="49"/>
      <c r="G17" s="49"/>
      <c r="H17" s="49"/>
      <c r="I17" s="50"/>
      <c r="J17" s="50"/>
      <c r="K17" s="122" t="s">
        <v>154</v>
      </c>
      <c r="L17" s="122">
        <v>3000.0</v>
      </c>
      <c r="M17" s="83"/>
      <c r="N17" s="83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</row>
    <row r="18">
      <c r="A18" s="22"/>
      <c r="B18" s="61"/>
      <c r="C18" s="62"/>
      <c r="D18" s="22"/>
      <c r="E18" s="49"/>
      <c r="F18" s="49"/>
      <c r="G18" s="49"/>
      <c r="H18" s="49"/>
      <c r="I18" s="50"/>
      <c r="J18" s="50"/>
      <c r="K18" s="9" t="s">
        <v>77</v>
      </c>
      <c r="L18" s="124">
        <v>3700.0</v>
      </c>
      <c r="M18" s="83"/>
      <c r="N18" s="83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</row>
    <row r="19">
      <c r="A19" s="22"/>
      <c r="B19" s="61"/>
      <c r="C19" s="62"/>
      <c r="D19" s="62"/>
      <c r="E19" s="49"/>
      <c r="F19" s="49"/>
      <c r="G19" s="49"/>
      <c r="H19" s="49"/>
      <c r="I19" s="49"/>
      <c r="J19" s="49"/>
      <c r="K19" s="9" t="s">
        <v>78</v>
      </c>
      <c r="L19" s="125">
        <v>7400.0</v>
      </c>
      <c r="M19" s="83"/>
      <c r="N19" s="83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</row>
    <row r="20">
      <c r="A20" s="68"/>
      <c r="B20" s="68"/>
      <c r="C20" s="68"/>
      <c r="D20" s="68"/>
      <c r="E20" s="49"/>
      <c r="F20" s="126" t="s">
        <v>136</v>
      </c>
      <c r="G20" s="53"/>
      <c r="H20" s="53"/>
      <c r="I20" s="54"/>
      <c r="J20" s="49"/>
      <c r="K20" s="9" t="s">
        <v>80</v>
      </c>
      <c r="L20" s="124">
        <v>3700.0</v>
      </c>
      <c r="M20" s="83"/>
      <c r="N20" s="83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</row>
    <row r="21">
      <c r="A21" s="68"/>
      <c r="B21" s="68"/>
      <c r="C21" s="68"/>
      <c r="D21" s="68"/>
      <c r="E21" s="49"/>
      <c r="F21" s="74" t="s">
        <v>83</v>
      </c>
      <c r="G21" s="132">
        <v>46097.0</v>
      </c>
      <c r="H21" s="123">
        <v>34.0</v>
      </c>
      <c r="I21" s="125">
        <v>10200.0</v>
      </c>
      <c r="J21" s="49"/>
      <c r="K21" s="92" t="s">
        <v>82</v>
      </c>
      <c r="L21" s="124">
        <v>2200.0</v>
      </c>
      <c r="M21" s="128"/>
      <c r="N21" s="54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</row>
    <row r="22">
      <c r="A22" s="68"/>
      <c r="B22" s="68"/>
      <c r="C22" s="68"/>
      <c r="D22" s="68"/>
      <c r="E22" s="49"/>
      <c r="F22" s="74" t="s">
        <v>83</v>
      </c>
      <c r="G22" s="132">
        <v>46112.0</v>
      </c>
      <c r="H22" s="123">
        <v>32.0</v>
      </c>
      <c r="I22" s="125">
        <v>9600.0</v>
      </c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</row>
    <row r="23">
      <c r="A23" s="68"/>
      <c r="B23" s="68"/>
      <c r="C23" s="68"/>
      <c r="D23" s="68"/>
      <c r="E23" s="49"/>
      <c r="F23" s="80" t="s">
        <v>88</v>
      </c>
      <c r="G23" s="132">
        <v>46115.0</v>
      </c>
      <c r="H23" s="123">
        <v>120.0</v>
      </c>
      <c r="I23" s="123">
        <v>24000.0</v>
      </c>
      <c r="J23" s="49"/>
      <c r="K23" s="49"/>
      <c r="L23" s="49">
        <f>SUM(L9:L21)</f>
        <v>44005</v>
      </c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</row>
    <row r="24">
      <c r="A24" s="68"/>
      <c r="B24" s="68"/>
      <c r="C24" s="68"/>
      <c r="D24" s="68"/>
      <c r="E24" s="49"/>
      <c r="F24" s="80" t="s">
        <v>88</v>
      </c>
      <c r="G24" s="132">
        <v>46118.0</v>
      </c>
      <c r="H24" s="123"/>
      <c r="I24" s="123">
        <v>15000.0</v>
      </c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</row>
    <row r="25">
      <c r="A25" s="68"/>
      <c r="B25" s="68"/>
      <c r="C25" s="68"/>
      <c r="D25" s="68"/>
      <c r="E25" s="49"/>
      <c r="F25" s="80" t="s">
        <v>88</v>
      </c>
      <c r="G25" s="132">
        <v>46118.0</v>
      </c>
      <c r="H25" s="123"/>
      <c r="I25" s="123">
        <v>14000.0</v>
      </c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</row>
    <row r="26">
      <c r="A26" s="68"/>
      <c r="B26" s="68"/>
      <c r="C26" s="68"/>
      <c r="D26" s="68"/>
      <c r="E26" s="49"/>
      <c r="F26" s="156"/>
      <c r="G26" s="132"/>
      <c r="H26" s="123"/>
      <c r="I26" s="123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</row>
    <row r="27">
      <c r="A27" s="68"/>
      <c r="B27" s="68"/>
      <c r="C27" s="68"/>
      <c r="D27" s="68"/>
      <c r="E27" s="49"/>
      <c r="F27" s="123"/>
      <c r="G27" s="132"/>
      <c r="H27" s="123"/>
      <c r="I27" s="123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</row>
    <row r="28">
      <c r="A28" s="68"/>
      <c r="B28" s="68"/>
      <c r="C28" s="68"/>
      <c r="D28" s="68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</row>
    <row r="29">
      <c r="A29" s="49"/>
      <c r="B29" s="49"/>
      <c r="C29" s="49"/>
      <c r="D29" s="49"/>
      <c r="E29" s="49"/>
      <c r="F29" s="49"/>
      <c r="G29" s="49"/>
      <c r="H29" s="49"/>
      <c r="I29" s="163">
        <f>SUM(I21:I27)</f>
        <v>72800</v>
      </c>
      <c r="J29" s="49">
        <f>SUM(J6:J13)</f>
        <v>0</v>
      </c>
      <c r="K29" s="84">
        <v>48960.0</v>
      </c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</row>
    <row r="30">
      <c r="A30" s="49"/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</row>
    <row r="31">
      <c r="A31" s="49"/>
      <c r="B31" s="49"/>
      <c r="C31" s="49"/>
      <c r="D31" s="49"/>
      <c r="E31" s="49"/>
      <c r="F31" s="85" t="s">
        <v>90</v>
      </c>
      <c r="G31" s="85" t="s">
        <v>91</v>
      </c>
      <c r="H31" s="85" t="s">
        <v>92</v>
      </c>
      <c r="I31" s="85" t="s">
        <v>93</v>
      </c>
      <c r="J31" s="85" t="s">
        <v>94</v>
      </c>
      <c r="K31" s="85" t="s">
        <v>95</v>
      </c>
      <c r="L31" s="85" t="s">
        <v>96</v>
      </c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</row>
    <row r="32">
      <c r="A32" s="49"/>
      <c r="B32" s="85" t="s">
        <v>97</v>
      </c>
      <c r="C32" s="49"/>
      <c r="D32" s="49"/>
      <c r="E32" s="49"/>
      <c r="F32" s="152">
        <v>46028.0</v>
      </c>
      <c r="G32" s="85" t="s">
        <v>98</v>
      </c>
      <c r="H32" s="85" t="s">
        <v>99</v>
      </c>
      <c r="I32" s="85">
        <v>2.0</v>
      </c>
      <c r="J32" s="115"/>
      <c r="K32" s="92"/>
      <c r="L32" s="131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</row>
    <row r="33">
      <c r="A33" s="49"/>
      <c r="B33" s="92" t="s">
        <v>100</v>
      </c>
      <c r="C33" s="49"/>
      <c r="D33" s="49"/>
      <c r="E33" s="49"/>
      <c r="F33" s="152">
        <v>46030.0</v>
      </c>
      <c r="G33" s="85" t="s">
        <v>98</v>
      </c>
      <c r="H33" s="85" t="s">
        <v>99</v>
      </c>
      <c r="I33" s="85">
        <v>2.0</v>
      </c>
      <c r="J33" s="124"/>
      <c r="K33" s="92"/>
      <c r="L33" s="131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</row>
    <row r="34">
      <c r="A34" s="49"/>
      <c r="B34" s="85" t="s">
        <v>101</v>
      </c>
      <c r="C34" s="49"/>
      <c r="D34" s="49"/>
      <c r="E34" s="49"/>
      <c r="F34" s="152">
        <v>46031.0</v>
      </c>
      <c r="G34" s="85" t="s">
        <v>98</v>
      </c>
      <c r="H34" s="85" t="s">
        <v>99</v>
      </c>
      <c r="I34" s="85">
        <v>2.0</v>
      </c>
      <c r="J34" s="124"/>
      <c r="K34" s="92"/>
      <c r="L34" s="131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</row>
    <row r="35">
      <c r="A35" s="49"/>
      <c r="B35" s="49"/>
      <c r="C35" s="49"/>
      <c r="D35" s="49"/>
      <c r="E35" s="49"/>
      <c r="F35" s="152">
        <v>46033.0</v>
      </c>
      <c r="G35" s="85" t="s">
        <v>98</v>
      </c>
      <c r="H35" s="85" t="s">
        <v>99</v>
      </c>
      <c r="I35" s="85">
        <v>2.0</v>
      </c>
      <c r="J35" s="131"/>
      <c r="K35" s="131"/>
      <c r="L35" s="131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</row>
    <row r="36">
      <c r="A36" s="49"/>
      <c r="B36" s="49"/>
      <c r="C36" s="49"/>
      <c r="D36" s="49"/>
      <c r="E36" s="49"/>
      <c r="F36" s="152">
        <v>46034.0</v>
      </c>
      <c r="G36" s="85" t="s">
        <v>98</v>
      </c>
      <c r="H36" s="85" t="s">
        <v>99</v>
      </c>
      <c r="I36" s="85">
        <v>2.0</v>
      </c>
      <c r="J36" s="131"/>
      <c r="K36" s="131"/>
      <c r="L36" s="131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</row>
    <row r="37">
      <c r="A37" s="49"/>
      <c r="B37" s="49"/>
      <c r="C37" s="49"/>
      <c r="D37" s="49"/>
      <c r="E37" s="49"/>
      <c r="F37" s="152">
        <v>46035.0</v>
      </c>
      <c r="G37" s="85" t="s">
        <v>98</v>
      </c>
      <c r="H37" s="85" t="s">
        <v>99</v>
      </c>
      <c r="I37" s="85">
        <v>2.0</v>
      </c>
      <c r="J37" s="131"/>
      <c r="K37" s="131"/>
      <c r="L37" s="131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</row>
    <row r="38">
      <c r="A38" s="49"/>
      <c r="B38" s="49"/>
      <c r="C38" s="49"/>
      <c r="D38" s="49"/>
      <c r="E38" s="49"/>
      <c r="F38" s="152">
        <v>46036.0</v>
      </c>
      <c r="G38" s="85" t="s">
        <v>98</v>
      </c>
      <c r="H38" s="85" t="s">
        <v>105</v>
      </c>
      <c r="I38" s="85">
        <v>2.0</v>
      </c>
      <c r="J38" s="131"/>
      <c r="K38" s="131"/>
      <c r="L38" s="131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</row>
    <row r="39">
      <c r="A39" s="49"/>
      <c r="B39" s="49"/>
      <c r="C39" s="49"/>
      <c r="D39" s="49"/>
      <c r="E39" s="49"/>
      <c r="F39" s="152">
        <v>46037.0</v>
      </c>
      <c r="G39" s="85" t="s">
        <v>98</v>
      </c>
      <c r="H39" s="85" t="s">
        <v>105</v>
      </c>
      <c r="I39" s="85">
        <v>2.0</v>
      </c>
      <c r="J39" s="131"/>
      <c r="K39" s="131"/>
      <c r="L39" s="131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</row>
    <row r="40">
      <c r="A40" s="49"/>
      <c r="B40" s="49"/>
      <c r="C40" s="49"/>
      <c r="D40" s="49"/>
      <c r="E40" s="49"/>
      <c r="F40" s="152">
        <v>46038.0</v>
      </c>
      <c r="G40" s="85" t="s">
        <v>98</v>
      </c>
      <c r="H40" s="85" t="s">
        <v>105</v>
      </c>
      <c r="I40" s="85">
        <v>2.0</v>
      </c>
      <c r="J40" s="131"/>
      <c r="K40" s="131"/>
      <c r="L40" s="131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</row>
    <row r="41">
      <c r="A41" s="49"/>
      <c r="B41" s="49"/>
      <c r="C41" s="49"/>
      <c r="D41" s="49"/>
      <c r="E41" s="49"/>
      <c r="F41" s="152">
        <v>46039.0</v>
      </c>
      <c r="G41" s="85" t="s">
        <v>98</v>
      </c>
      <c r="H41" s="85" t="s">
        <v>105</v>
      </c>
      <c r="I41" s="85">
        <v>2.0</v>
      </c>
      <c r="J41" s="131"/>
      <c r="K41" s="131"/>
      <c r="L41" s="131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</row>
    <row r="42">
      <c r="A42" s="49"/>
      <c r="B42" s="49"/>
      <c r="C42" s="49"/>
      <c r="D42" s="49"/>
      <c r="E42" s="49"/>
      <c r="F42" s="152">
        <v>46041.0</v>
      </c>
      <c r="G42" s="85" t="s">
        <v>98</v>
      </c>
      <c r="H42" s="85" t="s">
        <v>105</v>
      </c>
      <c r="I42" s="85">
        <v>2.0</v>
      </c>
      <c r="J42" s="131"/>
      <c r="K42" s="131"/>
      <c r="L42" s="131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</row>
    <row r="43">
      <c r="A43" s="49"/>
      <c r="B43" s="49"/>
      <c r="C43" s="49"/>
      <c r="D43" s="49"/>
      <c r="E43" s="49"/>
      <c r="F43" s="152">
        <v>46042.0</v>
      </c>
      <c r="G43" s="85" t="s">
        <v>98</v>
      </c>
      <c r="H43" s="85" t="s">
        <v>105</v>
      </c>
      <c r="I43" s="85">
        <v>2.0</v>
      </c>
      <c r="J43" s="131"/>
      <c r="K43" s="131"/>
      <c r="L43" s="131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</row>
    <row r="44">
      <c r="A44" s="49"/>
      <c r="B44" s="49"/>
      <c r="C44" s="49"/>
      <c r="D44" s="49"/>
      <c r="E44" s="49"/>
      <c r="F44" s="152">
        <v>46043.0</v>
      </c>
      <c r="G44" s="85" t="s">
        <v>98</v>
      </c>
      <c r="H44" s="85" t="s">
        <v>105</v>
      </c>
      <c r="I44" s="85">
        <v>2.0</v>
      </c>
      <c r="J44" s="131"/>
      <c r="K44" s="131"/>
      <c r="L44" s="131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</row>
    <row r="45">
      <c r="A45" s="49"/>
      <c r="B45" s="49"/>
      <c r="C45" s="49"/>
      <c r="D45" s="49"/>
      <c r="E45" s="49"/>
      <c r="F45" s="152">
        <v>46044.0</v>
      </c>
      <c r="G45" s="85" t="s">
        <v>98</v>
      </c>
      <c r="H45" s="85" t="s">
        <v>97</v>
      </c>
      <c r="I45" s="85">
        <v>2.0</v>
      </c>
      <c r="J45" s="131"/>
      <c r="K45" s="131"/>
      <c r="L45" s="131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</row>
    <row r="46">
      <c r="A46" s="49"/>
      <c r="B46" s="49"/>
      <c r="C46" s="49"/>
      <c r="D46" s="49"/>
      <c r="E46" s="49"/>
      <c r="F46" s="152">
        <v>46044.0</v>
      </c>
      <c r="G46" s="85" t="s">
        <v>98</v>
      </c>
      <c r="H46" s="85" t="s">
        <v>105</v>
      </c>
      <c r="I46" s="85">
        <v>2.0</v>
      </c>
      <c r="J46" s="131"/>
      <c r="K46" s="131"/>
      <c r="L46" s="131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</row>
    <row r="47">
      <c r="A47" s="49"/>
      <c r="B47" s="49"/>
      <c r="C47" s="49"/>
      <c r="D47" s="49"/>
      <c r="E47" s="49"/>
      <c r="F47" s="152">
        <v>46045.0</v>
      </c>
      <c r="G47" s="85" t="s">
        <v>98</v>
      </c>
      <c r="H47" s="85" t="s">
        <v>97</v>
      </c>
      <c r="I47" s="85">
        <v>2.0</v>
      </c>
      <c r="J47" s="131"/>
      <c r="K47" s="131"/>
      <c r="L47" s="131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</row>
    <row r="48">
      <c r="A48" s="49"/>
      <c r="B48" s="49"/>
      <c r="C48" s="49"/>
      <c r="D48" s="49"/>
      <c r="E48" s="49"/>
      <c r="F48" s="152">
        <v>46045.0</v>
      </c>
      <c r="G48" s="85" t="s">
        <v>98</v>
      </c>
      <c r="H48" s="85" t="s">
        <v>105</v>
      </c>
      <c r="I48" s="85">
        <v>2.0</v>
      </c>
      <c r="J48" s="131"/>
      <c r="K48" s="131"/>
      <c r="L48" s="131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</row>
    <row r="49">
      <c r="A49" s="49"/>
      <c r="B49" s="49"/>
      <c r="C49" s="49"/>
      <c r="D49" s="49"/>
      <c r="E49" s="49"/>
      <c r="F49" s="152">
        <v>46048.0</v>
      </c>
      <c r="G49" s="85" t="s">
        <v>98</v>
      </c>
      <c r="H49" s="85" t="s">
        <v>105</v>
      </c>
      <c r="I49" s="85">
        <v>2.0</v>
      </c>
      <c r="J49" s="131"/>
      <c r="K49" s="131"/>
      <c r="L49" s="131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</row>
    <row r="50">
      <c r="A50" s="49"/>
      <c r="B50" s="49"/>
      <c r="C50" s="49"/>
      <c r="D50" s="49"/>
      <c r="E50" s="49"/>
      <c r="F50" s="152">
        <v>46048.0</v>
      </c>
      <c r="G50" s="85" t="s">
        <v>98</v>
      </c>
      <c r="H50" s="85" t="s">
        <v>106</v>
      </c>
      <c r="I50" s="85">
        <v>2.0</v>
      </c>
      <c r="J50" s="131"/>
      <c r="K50" s="131"/>
      <c r="L50" s="131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</row>
    <row r="51">
      <c r="A51" s="49"/>
      <c r="B51" s="49"/>
      <c r="C51" s="49"/>
      <c r="D51" s="49"/>
      <c r="E51" s="49"/>
      <c r="F51" s="152">
        <v>46049.0</v>
      </c>
      <c r="G51" s="85" t="s">
        <v>98</v>
      </c>
      <c r="H51" s="85" t="s">
        <v>105</v>
      </c>
      <c r="I51" s="85">
        <v>2.0</v>
      </c>
      <c r="J51" s="131"/>
      <c r="K51" s="131"/>
      <c r="L51" s="131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</row>
    <row r="52">
      <c r="A52" s="49"/>
      <c r="B52" s="49"/>
      <c r="C52" s="49"/>
      <c r="D52" s="49"/>
      <c r="E52" s="49"/>
      <c r="F52" s="152">
        <v>46050.0</v>
      </c>
      <c r="G52" s="85" t="s">
        <v>98</v>
      </c>
      <c r="H52" s="85" t="s">
        <v>97</v>
      </c>
      <c r="I52" s="85">
        <v>2.0</v>
      </c>
      <c r="J52" s="131"/>
      <c r="K52" s="131"/>
      <c r="L52" s="131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</row>
    <row r="53">
      <c r="A53" s="49"/>
      <c r="B53" s="49"/>
      <c r="C53" s="49"/>
      <c r="D53" s="49"/>
      <c r="E53" s="49"/>
      <c r="F53" s="152">
        <v>46050.0</v>
      </c>
      <c r="G53" s="85" t="s">
        <v>98</v>
      </c>
      <c r="H53" s="85" t="s">
        <v>105</v>
      </c>
      <c r="I53" s="85">
        <v>2.0</v>
      </c>
      <c r="J53" s="131"/>
      <c r="K53" s="131"/>
      <c r="L53" s="131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</row>
    <row r="54">
      <c r="A54" s="49"/>
      <c r="B54" s="49"/>
      <c r="C54" s="49"/>
      <c r="D54" s="49"/>
      <c r="E54" s="49"/>
      <c r="F54" s="152">
        <v>46051.0</v>
      </c>
      <c r="G54" s="85" t="s">
        <v>98</v>
      </c>
      <c r="H54" s="85" t="s">
        <v>97</v>
      </c>
      <c r="I54" s="85">
        <v>2.0</v>
      </c>
      <c r="J54" s="131"/>
      <c r="K54" s="131"/>
      <c r="L54" s="131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</row>
    <row r="55">
      <c r="A55" s="49"/>
      <c r="B55" s="49"/>
      <c r="C55" s="49"/>
      <c r="D55" s="49"/>
      <c r="E55" s="49"/>
      <c r="F55" s="152">
        <v>46051.0</v>
      </c>
      <c r="G55" s="85" t="s">
        <v>98</v>
      </c>
      <c r="H55" s="85" t="s">
        <v>105</v>
      </c>
      <c r="I55" s="85">
        <v>2.0</v>
      </c>
      <c r="J55" s="131"/>
      <c r="K55" s="131"/>
      <c r="L55" s="131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</row>
    <row r="56">
      <c r="A56" s="49"/>
      <c r="B56" s="49"/>
      <c r="C56" s="49"/>
      <c r="D56" s="49"/>
      <c r="E56" s="49"/>
      <c r="F56" s="152">
        <v>46052.0</v>
      </c>
      <c r="G56" s="85" t="s">
        <v>98</v>
      </c>
      <c r="H56" s="85" t="s">
        <v>97</v>
      </c>
      <c r="I56" s="85">
        <v>2.0</v>
      </c>
      <c r="J56" s="131"/>
      <c r="K56" s="131"/>
      <c r="L56" s="131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</row>
    <row r="57">
      <c r="A57" s="49"/>
      <c r="B57" s="49"/>
      <c r="C57" s="49"/>
      <c r="D57" s="49"/>
      <c r="E57" s="49"/>
      <c r="F57" s="152">
        <v>46052.0</v>
      </c>
      <c r="G57" s="85" t="s">
        <v>98</v>
      </c>
      <c r="H57" s="85" t="s">
        <v>105</v>
      </c>
      <c r="I57" s="85">
        <v>2.0</v>
      </c>
      <c r="J57" s="131"/>
      <c r="K57" s="131"/>
      <c r="L57" s="131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</row>
    <row r="58">
      <c r="A58" s="49"/>
      <c r="B58" s="49"/>
      <c r="C58" s="49"/>
      <c r="D58" s="49"/>
      <c r="E58" s="49"/>
      <c r="F58" s="152">
        <v>46053.0</v>
      </c>
      <c r="G58" s="85" t="s">
        <v>98</v>
      </c>
      <c r="H58" s="85" t="s">
        <v>97</v>
      </c>
      <c r="I58" s="85">
        <v>2.0</v>
      </c>
      <c r="J58" s="131"/>
      <c r="K58" s="131"/>
      <c r="L58" s="131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</row>
    <row r="59">
      <c r="A59" s="49"/>
      <c r="B59" s="49"/>
      <c r="C59" s="49"/>
      <c r="D59" s="49"/>
      <c r="E59" s="49"/>
      <c r="F59" s="152">
        <v>46053.0</v>
      </c>
      <c r="G59" s="85" t="s">
        <v>98</v>
      </c>
      <c r="H59" s="85" t="s">
        <v>105</v>
      </c>
      <c r="I59" s="85">
        <v>2.0</v>
      </c>
      <c r="J59" s="131"/>
      <c r="K59" s="131"/>
      <c r="L59" s="131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</row>
    <row r="60">
      <c r="A60" s="49"/>
      <c r="B60" s="49"/>
      <c r="C60" s="49"/>
      <c r="D60" s="4"/>
      <c r="E60" s="101"/>
      <c r="F60" s="49"/>
      <c r="G60" s="49"/>
      <c r="H60" s="49"/>
      <c r="I60" s="101"/>
      <c r="J60" s="49"/>
      <c r="K60" s="101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</row>
    <row r="61">
      <c r="A61" s="49"/>
      <c r="B61" s="49"/>
      <c r="C61" s="49"/>
      <c r="D61" s="4"/>
      <c r="E61" s="101"/>
      <c r="F61" s="49"/>
      <c r="G61" s="49"/>
      <c r="H61" s="49"/>
      <c r="I61" s="101"/>
      <c r="J61" s="49"/>
      <c r="K61" s="101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</row>
    <row r="62">
      <c r="A62" s="49"/>
      <c r="B62" s="49"/>
      <c r="C62" s="49"/>
      <c r="D62" s="4"/>
      <c r="E62" s="101"/>
      <c r="F62" s="85" t="s">
        <v>90</v>
      </c>
      <c r="G62" s="85" t="s">
        <v>91</v>
      </c>
      <c r="H62" s="85" t="s">
        <v>92</v>
      </c>
      <c r="I62" s="85" t="s">
        <v>93</v>
      </c>
      <c r="J62" s="85" t="s">
        <v>94</v>
      </c>
      <c r="K62" s="85" t="s">
        <v>95</v>
      </c>
      <c r="L62" s="85" t="s">
        <v>96</v>
      </c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</row>
    <row r="63">
      <c r="A63" s="49"/>
      <c r="B63" s="49"/>
      <c r="C63" s="49"/>
      <c r="D63" s="4"/>
      <c r="E63" s="101"/>
      <c r="F63" s="152">
        <v>46028.0</v>
      </c>
      <c r="G63" s="156" t="s">
        <v>110</v>
      </c>
      <c r="H63" s="85" t="s">
        <v>101</v>
      </c>
      <c r="I63" s="85">
        <v>1.5</v>
      </c>
      <c r="J63" s="92"/>
      <c r="K63" s="92"/>
      <c r="L63" s="131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</row>
    <row r="64">
      <c r="A64" s="49"/>
      <c r="B64" s="49"/>
      <c r="C64" s="49"/>
      <c r="D64" s="4"/>
      <c r="E64" s="101"/>
      <c r="F64" s="152">
        <v>46029.0</v>
      </c>
      <c r="G64" s="156" t="s">
        <v>110</v>
      </c>
      <c r="H64" s="85" t="s">
        <v>101</v>
      </c>
      <c r="I64" s="85">
        <v>2.5</v>
      </c>
      <c r="J64" s="124"/>
      <c r="K64" s="92"/>
      <c r="L64" s="131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</row>
    <row r="65">
      <c r="A65" s="49"/>
      <c r="B65" s="49"/>
      <c r="C65" s="49"/>
      <c r="D65" s="4"/>
      <c r="E65" s="101"/>
      <c r="F65" s="152">
        <v>46029.0</v>
      </c>
      <c r="G65" s="156" t="s">
        <v>110</v>
      </c>
      <c r="H65" s="92" t="s">
        <v>100</v>
      </c>
      <c r="I65" s="85">
        <v>2.0</v>
      </c>
      <c r="J65" s="124"/>
      <c r="K65" s="92"/>
      <c r="L65" s="131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</row>
    <row r="66">
      <c r="A66" s="49"/>
      <c r="B66" s="49"/>
      <c r="C66" s="49"/>
      <c r="D66" s="4"/>
      <c r="E66" s="101"/>
      <c r="F66" s="152">
        <v>46030.0</v>
      </c>
      <c r="G66" s="156" t="s">
        <v>110</v>
      </c>
      <c r="H66" s="85" t="s">
        <v>101</v>
      </c>
      <c r="I66" s="85">
        <v>2.0</v>
      </c>
      <c r="J66" s="131"/>
      <c r="K66" s="131"/>
      <c r="L66" s="131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</row>
    <row r="67">
      <c r="A67" s="49"/>
      <c r="B67" s="49"/>
      <c r="C67" s="49"/>
      <c r="D67" s="4"/>
      <c r="E67" s="101"/>
      <c r="F67" s="152">
        <v>46031.0</v>
      </c>
      <c r="G67" s="156" t="s">
        <v>110</v>
      </c>
      <c r="H67" s="85" t="s">
        <v>101</v>
      </c>
      <c r="I67" s="85">
        <v>2.0</v>
      </c>
      <c r="J67" s="131"/>
      <c r="K67" s="131"/>
      <c r="L67" s="131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</row>
    <row r="68">
      <c r="A68" s="49"/>
      <c r="B68" s="49"/>
      <c r="C68" s="49"/>
      <c r="D68" s="4"/>
      <c r="E68" s="101"/>
      <c r="F68" s="152">
        <v>46035.0</v>
      </c>
      <c r="G68" s="156" t="s">
        <v>110</v>
      </c>
      <c r="H68" s="92" t="s">
        <v>100</v>
      </c>
      <c r="I68" s="85">
        <v>2.0</v>
      </c>
      <c r="J68" s="131"/>
      <c r="K68" s="131"/>
      <c r="L68" s="131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</row>
    <row r="69">
      <c r="A69" s="49"/>
      <c r="B69" s="49"/>
      <c r="C69" s="49"/>
      <c r="D69" s="4"/>
      <c r="E69" s="101"/>
      <c r="F69" s="152">
        <v>46036.0</v>
      </c>
      <c r="G69" s="156" t="s">
        <v>110</v>
      </c>
      <c r="H69" s="92" t="s">
        <v>100</v>
      </c>
      <c r="I69" s="85">
        <v>2.0</v>
      </c>
      <c r="J69" s="131"/>
      <c r="K69" s="131"/>
      <c r="L69" s="131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</row>
    <row r="70">
      <c r="A70" s="49"/>
      <c r="B70" s="49"/>
      <c r="C70" s="49"/>
      <c r="D70" s="4"/>
      <c r="E70" s="101"/>
      <c r="F70" s="152">
        <v>46037.0</v>
      </c>
      <c r="G70" s="156" t="s">
        <v>110</v>
      </c>
      <c r="H70" s="85" t="s">
        <v>101</v>
      </c>
      <c r="I70" s="85">
        <v>2.0</v>
      </c>
      <c r="J70" s="131"/>
      <c r="K70" s="131"/>
      <c r="L70" s="131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</row>
    <row r="71">
      <c r="A71" s="49"/>
      <c r="B71" s="49"/>
      <c r="C71" s="49"/>
      <c r="D71" s="4"/>
      <c r="E71" s="101"/>
      <c r="F71" s="152">
        <v>46038.0</v>
      </c>
      <c r="G71" s="156" t="s">
        <v>110</v>
      </c>
      <c r="H71" s="85" t="s">
        <v>101</v>
      </c>
      <c r="I71" s="85">
        <v>2.0</v>
      </c>
      <c r="J71" s="131"/>
      <c r="K71" s="131"/>
      <c r="L71" s="131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</row>
    <row r="72">
      <c r="A72" s="49"/>
      <c r="B72" s="49"/>
      <c r="C72" s="49"/>
      <c r="D72" s="4"/>
      <c r="E72" s="101"/>
      <c r="F72" s="152">
        <v>46041.0</v>
      </c>
      <c r="G72" s="156" t="s">
        <v>110</v>
      </c>
      <c r="H72" s="85" t="s">
        <v>101</v>
      </c>
      <c r="I72" s="85">
        <v>2.0</v>
      </c>
      <c r="J72" s="131"/>
      <c r="K72" s="131"/>
      <c r="L72" s="131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</row>
    <row r="73">
      <c r="A73" s="49"/>
      <c r="B73" s="49"/>
      <c r="C73" s="49"/>
      <c r="D73" s="4"/>
      <c r="E73" s="101"/>
      <c r="F73" s="152">
        <v>46041.0</v>
      </c>
      <c r="G73" s="156" t="s">
        <v>110</v>
      </c>
      <c r="H73" s="92" t="s">
        <v>100</v>
      </c>
      <c r="I73" s="85">
        <v>2.0</v>
      </c>
      <c r="J73" s="131"/>
      <c r="K73" s="131"/>
      <c r="L73" s="131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</row>
    <row r="74">
      <c r="A74" s="49"/>
      <c r="B74" s="49"/>
      <c r="C74" s="49"/>
      <c r="D74" s="4"/>
      <c r="E74" s="101"/>
      <c r="F74" s="152">
        <v>46042.0</v>
      </c>
      <c r="G74" s="156" t="s">
        <v>110</v>
      </c>
      <c r="H74" s="85" t="s">
        <v>101</v>
      </c>
      <c r="I74" s="85">
        <v>2.0</v>
      </c>
      <c r="J74" s="131"/>
      <c r="K74" s="131"/>
      <c r="L74" s="131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</row>
    <row r="75">
      <c r="A75" s="49"/>
      <c r="B75" s="49"/>
      <c r="C75" s="49"/>
      <c r="D75" s="4"/>
      <c r="E75" s="101"/>
      <c r="F75" s="152">
        <v>46042.0</v>
      </c>
      <c r="G75" s="156" t="s">
        <v>110</v>
      </c>
      <c r="H75" s="92" t="s">
        <v>100</v>
      </c>
      <c r="I75" s="85">
        <v>2.0</v>
      </c>
      <c r="J75" s="131"/>
      <c r="K75" s="131"/>
      <c r="L75" s="131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</row>
    <row r="76">
      <c r="A76" s="49"/>
      <c r="B76" s="49"/>
      <c r="C76" s="49"/>
      <c r="D76" s="4"/>
      <c r="E76" s="101"/>
      <c r="F76" s="152">
        <v>46043.0</v>
      </c>
      <c r="G76" s="156" t="s">
        <v>110</v>
      </c>
      <c r="H76" s="85" t="s">
        <v>101</v>
      </c>
      <c r="I76" s="85">
        <v>2.0</v>
      </c>
      <c r="J76" s="131"/>
      <c r="K76" s="131"/>
      <c r="L76" s="131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</row>
    <row r="77">
      <c r="A77" s="49"/>
      <c r="B77" s="49"/>
      <c r="C77" s="49"/>
      <c r="D77" s="4"/>
      <c r="E77" s="101"/>
      <c r="F77" s="152">
        <v>46043.0</v>
      </c>
      <c r="G77" s="156" t="s">
        <v>110</v>
      </c>
      <c r="H77" s="92" t="s">
        <v>100</v>
      </c>
      <c r="I77" s="85">
        <v>2.0</v>
      </c>
      <c r="J77" s="131"/>
      <c r="K77" s="131"/>
      <c r="L77" s="131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</row>
    <row r="78">
      <c r="A78" s="49"/>
      <c r="B78" s="49"/>
      <c r="C78" s="49"/>
      <c r="D78" s="4"/>
      <c r="E78" s="101"/>
      <c r="F78" s="152">
        <v>46044.0</v>
      </c>
      <c r="G78" s="156" t="s">
        <v>110</v>
      </c>
      <c r="H78" s="85" t="s">
        <v>101</v>
      </c>
      <c r="I78" s="85">
        <v>2.0</v>
      </c>
      <c r="J78" s="131"/>
      <c r="K78" s="131"/>
      <c r="L78" s="131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  <c r="AA78" s="49"/>
    </row>
    <row r="79">
      <c r="A79" s="49"/>
      <c r="B79" s="49"/>
      <c r="C79" s="49"/>
      <c r="D79" s="4"/>
      <c r="E79" s="101"/>
      <c r="F79" s="152">
        <v>46048.0</v>
      </c>
      <c r="G79" s="156" t="s">
        <v>110</v>
      </c>
      <c r="H79" s="85" t="s">
        <v>101</v>
      </c>
      <c r="I79" s="85">
        <v>2.0</v>
      </c>
      <c r="J79" s="131"/>
      <c r="K79" s="131"/>
      <c r="L79" s="131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</row>
    <row r="80">
      <c r="A80" s="49"/>
      <c r="B80" s="49"/>
      <c r="C80" s="49"/>
      <c r="D80" s="4"/>
      <c r="E80" s="101"/>
      <c r="F80" s="152">
        <v>46049.0</v>
      </c>
      <c r="G80" s="156" t="s">
        <v>110</v>
      </c>
      <c r="H80" s="85" t="s">
        <v>101</v>
      </c>
      <c r="I80" s="85">
        <v>2.0</v>
      </c>
      <c r="J80" s="131"/>
      <c r="K80" s="131"/>
      <c r="L80" s="131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  <c r="AA80" s="49"/>
    </row>
    <row r="81">
      <c r="A81" s="49"/>
      <c r="B81" s="49"/>
      <c r="C81" s="49"/>
      <c r="D81" s="4"/>
      <c r="E81" s="101"/>
      <c r="F81" s="152">
        <v>46050.0</v>
      </c>
      <c r="G81" s="156" t="s">
        <v>110</v>
      </c>
      <c r="H81" s="85" t="s">
        <v>101</v>
      </c>
      <c r="I81" s="85">
        <v>2.0</v>
      </c>
      <c r="J81" s="131"/>
      <c r="K81" s="131"/>
      <c r="L81" s="131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</row>
    <row r="82">
      <c r="A82" s="49"/>
      <c r="B82" s="49"/>
      <c r="C82" s="49"/>
      <c r="D82" s="4"/>
      <c r="E82" s="101"/>
      <c r="F82" s="152">
        <v>46051.0</v>
      </c>
      <c r="G82" s="156" t="s">
        <v>110</v>
      </c>
      <c r="H82" s="85" t="s">
        <v>101</v>
      </c>
      <c r="I82" s="85">
        <v>2.0</v>
      </c>
      <c r="J82" s="131"/>
      <c r="K82" s="131"/>
      <c r="L82" s="131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</row>
    <row r="83">
      <c r="A83" s="49"/>
      <c r="B83" s="49"/>
      <c r="C83" s="49"/>
      <c r="D83" s="4"/>
      <c r="E83" s="101"/>
      <c r="F83" s="152">
        <v>46052.0</v>
      </c>
      <c r="G83" s="156" t="s">
        <v>110</v>
      </c>
      <c r="H83" s="85" t="s">
        <v>101</v>
      </c>
      <c r="I83" s="85">
        <v>2.0</v>
      </c>
      <c r="J83" s="131"/>
      <c r="K83" s="131"/>
      <c r="L83" s="131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</row>
    <row r="84">
      <c r="A84" s="49"/>
      <c r="B84" s="49"/>
      <c r="C84" s="49"/>
      <c r="D84" s="4"/>
      <c r="E84" s="101"/>
      <c r="F84" s="49"/>
      <c r="G84" s="49"/>
      <c r="H84" s="49"/>
      <c r="I84" s="101"/>
      <c r="J84" s="49"/>
      <c r="K84" s="101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  <c r="AA84" s="49"/>
    </row>
    <row r="85">
      <c r="A85" s="49"/>
      <c r="B85" s="49"/>
      <c r="C85" s="49"/>
      <c r="D85" s="4"/>
      <c r="E85" s="101"/>
      <c r="F85" s="49"/>
      <c r="G85" s="49"/>
      <c r="H85" s="49"/>
      <c r="I85" s="101">
        <f t="shared" ref="I85:K85" si="1">SUM(I32:I83)</f>
        <v>98</v>
      </c>
      <c r="J85" s="107">
        <f t="shared" si="1"/>
        <v>0</v>
      </c>
      <c r="K85" s="101">
        <f t="shared" si="1"/>
        <v>0</v>
      </c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  <c r="AA85" s="49"/>
    </row>
    <row r="86">
      <c r="A86" s="49"/>
      <c r="B86" s="49"/>
      <c r="C86" s="49"/>
      <c r="D86" s="4"/>
      <c r="E86" s="101"/>
      <c r="F86" s="49"/>
      <c r="G86" s="49"/>
      <c r="H86" s="49"/>
      <c r="I86" s="101"/>
      <c r="J86" s="49"/>
      <c r="K86" s="101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</row>
    <row r="87">
      <c r="A87" s="49"/>
      <c r="B87" s="49"/>
      <c r="C87" s="49"/>
      <c r="D87" s="4"/>
      <c r="E87" s="101"/>
      <c r="F87" s="49"/>
      <c r="G87" s="49"/>
      <c r="H87" s="49"/>
      <c r="I87" s="101"/>
      <c r="J87" s="49"/>
      <c r="K87" s="101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</row>
    <row r="88">
      <c r="A88" s="49"/>
      <c r="B88" s="49"/>
      <c r="C88" s="49"/>
      <c r="D88" s="4"/>
      <c r="E88" s="101"/>
      <c r="F88" s="49"/>
      <c r="G88" s="49"/>
      <c r="H88" s="49"/>
      <c r="I88" s="101"/>
      <c r="J88" s="49"/>
      <c r="K88" s="101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</row>
    <row r="89">
      <c r="A89" s="49"/>
      <c r="B89" s="49"/>
      <c r="C89" s="49"/>
      <c r="D89" s="4"/>
      <c r="E89" s="101"/>
      <c r="F89" s="49"/>
      <c r="G89" s="49"/>
      <c r="H89" s="49"/>
      <c r="I89" s="101"/>
      <c r="J89" s="49"/>
      <c r="K89" s="101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</row>
    <row r="90">
      <c r="A90" s="49"/>
      <c r="B90" s="49"/>
      <c r="C90" s="49"/>
      <c r="D90" s="4"/>
      <c r="E90" s="101"/>
      <c r="F90" s="49"/>
      <c r="G90" s="49"/>
      <c r="H90" s="49"/>
      <c r="I90" s="101"/>
      <c r="J90" s="49"/>
      <c r="K90" s="101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  <c r="AA90" s="49"/>
    </row>
    <row r="91">
      <c r="A91" s="49"/>
      <c r="B91" s="49"/>
      <c r="C91" s="49"/>
      <c r="D91" s="4"/>
      <c r="E91" s="101"/>
      <c r="F91" s="49"/>
      <c r="G91" s="49"/>
      <c r="H91" s="49"/>
      <c r="I91" s="101"/>
      <c r="J91" s="49"/>
      <c r="K91" s="101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  <c r="AA91" s="49"/>
    </row>
    <row r="92">
      <c r="A92" s="49"/>
      <c r="B92" s="49"/>
      <c r="C92" s="49"/>
      <c r="D92" s="4"/>
      <c r="E92" s="101"/>
      <c r="F92" s="49"/>
      <c r="G92" s="49"/>
      <c r="H92" s="49"/>
      <c r="I92" s="101"/>
      <c r="J92" s="49"/>
      <c r="K92" s="101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</row>
    <row r="93">
      <c r="A93" s="49"/>
      <c r="B93" s="49"/>
      <c r="C93" s="49"/>
      <c r="D93" s="4"/>
      <c r="E93" s="101"/>
      <c r="F93" s="49"/>
      <c r="G93" s="49"/>
      <c r="H93" s="49"/>
      <c r="I93" s="101"/>
      <c r="J93" s="49"/>
      <c r="K93" s="101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</row>
    <row r="94">
      <c r="A94" s="49"/>
      <c r="B94" s="49"/>
      <c r="C94" s="49"/>
      <c r="D94" s="4"/>
      <c r="E94" s="101"/>
      <c r="F94" s="49"/>
      <c r="G94" s="49"/>
      <c r="H94" s="49"/>
      <c r="I94" s="101"/>
      <c r="J94" s="49"/>
      <c r="K94" s="101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  <c r="AA94" s="49"/>
    </row>
    <row r="95">
      <c r="A95" s="49"/>
      <c r="B95" s="49"/>
      <c r="C95" s="49"/>
      <c r="D95" s="4"/>
      <c r="E95" s="101"/>
      <c r="F95" s="49"/>
      <c r="G95" s="49"/>
      <c r="H95" s="49"/>
      <c r="I95" s="101"/>
      <c r="J95" s="49"/>
      <c r="K95" s="101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</row>
    <row r="96">
      <c r="A96" s="49"/>
      <c r="B96" s="49"/>
      <c r="C96" s="49"/>
      <c r="D96" s="4"/>
      <c r="E96" s="101"/>
      <c r="F96" s="49"/>
      <c r="G96" s="49"/>
      <c r="H96" s="49"/>
      <c r="I96" s="101"/>
      <c r="J96" s="49"/>
      <c r="K96" s="101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  <c r="AA96" s="49"/>
    </row>
    <row r="97">
      <c r="A97" s="49"/>
      <c r="B97" s="49"/>
      <c r="C97" s="49"/>
      <c r="D97" s="4"/>
      <c r="E97" s="101"/>
      <c r="F97" s="49"/>
      <c r="G97" s="49"/>
      <c r="H97" s="49"/>
      <c r="I97" s="101"/>
      <c r="J97" s="49"/>
      <c r="K97" s="101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  <c r="AA97" s="49"/>
    </row>
    <row r="98">
      <c r="A98" s="49"/>
      <c r="B98" s="49"/>
      <c r="C98" s="49"/>
      <c r="D98" s="4"/>
      <c r="E98" s="101"/>
      <c r="F98" s="49"/>
      <c r="G98" s="49"/>
      <c r="H98" s="49"/>
      <c r="I98" s="101"/>
      <c r="J98" s="49"/>
      <c r="K98" s="101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  <c r="AA98" s="49"/>
    </row>
    <row r="99">
      <c r="A99" s="49"/>
      <c r="B99" s="49"/>
      <c r="C99" s="49"/>
      <c r="D99" s="4"/>
      <c r="E99" s="101"/>
      <c r="F99" s="49"/>
      <c r="G99" s="49"/>
      <c r="H99" s="49"/>
      <c r="I99" s="101"/>
      <c r="J99" s="49"/>
      <c r="K99" s="101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  <c r="AA99" s="49"/>
    </row>
    <row r="100">
      <c r="A100" s="49"/>
      <c r="B100" s="49"/>
      <c r="C100" s="49"/>
      <c r="D100" s="4"/>
      <c r="E100" s="101"/>
      <c r="F100" s="49"/>
      <c r="G100" s="49"/>
      <c r="H100" s="49"/>
      <c r="I100" s="101"/>
      <c r="J100" s="49"/>
      <c r="K100" s="101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</row>
    <row r="101">
      <c r="A101" s="49"/>
      <c r="B101" s="49"/>
      <c r="C101" s="49"/>
      <c r="D101" s="4"/>
      <c r="E101" s="101"/>
      <c r="F101" s="49"/>
      <c r="G101" s="49"/>
      <c r="H101" s="49"/>
      <c r="I101" s="101"/>
      <c r="J101" s="49"/>
      <c r="K101" s="101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  <c r="AA101" s="49"/>
    </row>
    <row r="102">
      <c r="A102" s="49"/>
      <c r="B102" s="49"/>
      <c r="C102" s="49"/>
      <c r="D102" s="4"/>
      <c r="E102" s="101"/>
      <c r="F102" s="49"/>
      <c r="G102" s="49"/>
      <c r="H102" s="49"/>
      <c r="I102" s="101"/>
      <c r="J102" s="49"/>
      <c r="K102" s="101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</row>
    <row r="103">
      <c r="A103" s="49"/>
      <c r="B103" s="49"/>
      <c r="C103" s="49"/>
      <c r="D103" s="4"/>
      <c r="E103" s="101"/>
      <c r="F103" s="49"/>
      <c r="G103" s="49"/>
      <c r="H103" s="49"/>
      <c r="I103" s="101"/>
      <c r="J103" s="49"/>
      <c r="K103" s="101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  <c r="AA103" s="49"/>
    </row>
    <row r="104">
      <c r="A104" s="49"/>
      <c r="B104" s="49"/>
      <c r="C104" s="49"/>
      <c r="D104" s="4"/>
      <c r="E104" s="101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  <c r="AA104" s="49"/>
    </row>
    <row r="105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  <c r="AA105" s="49"/>
    </row>
    <row r="106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  <c r="AA106" s="49"/>
    </row>
    <row r="107">
      <c r="A107" s="49"/>
      <c r="B107" s="49"/>
      <c r="C107" s="49"/>
      <c r="D107" s="49"/>
      <c r="E107" s="49"/>
      <c r="F107" s="49"/>
      <c r="G107" s="101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  <c r="AA107" s="49"/>
    </row>
    <row r="108">
      <c r="A108" s="49"/>
      <c r="B108" s="49"/>
      <c r="C108" s="49"/>
      <c r="D108" s="49"/>
      <c r="E108" s="49"/>
      <c r="F108" s="49"/>
      <c r="G108" s="160" t="s">
        <v>11</v>
      </c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  <c r="AA108" s="49"/>
    </row>
    <row r="109">
      <c r="A109" s="49"/>
      <c r="B109" s="49"/>
      <c r="C109" s="49"/>
      <c r="D109" s="49"/>
      <c r="E109" s="49"/>
      <c r="F109" s="49"/>
      <c r="G109" s="161" t="s">
        <v>11</v>
      </c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  <c r="AA109" s="49"/>
    </row>
    <row r="110">
      <c r="A110" s="49"/>
      <c r="B110" s="49"/>
      <c r="C110" s="49"/>
      <c r="D110" s="49"/>
      <c r="E110" s="49"/>
      <c r="F110" s="49"/>
      <c r="G110" s="161" t="s">
        <v>11</v>
      </c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  <c r="AA110" s="49"/>
    </row>
    <row r="111">
      <c r="A111" s="49"/>
      <c r="B111" s="49"/>
      <c r="C111" s="49"/>
      <c r="D111" s="49"/>
      <c r="E111" s="49"/>
      <c r="F111" s="49"/>
      <c r="G111" s="161" t="s">
        <v>11</v>
      </c>
      <c r="H111" s="49"/>
      <c r="I111" s="161" t="s">
        <v>11</v>
      </c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  <c r="AA111" s="49"/>
    </row>
    <row r="112">
      <c r="A112" s="49"/>
      <c r="B112" s="49"/>
      <c r="C112" s="49"/>
      <c r="D112" s="49"/>
      <c r="E112" s="49"/>
      <c r="F112" s="49"/>
      <c r="G112" s="161" t="s">
        <v>11</v>
      </c>
      <c r="H112" s="49"/>
      <c r="I112" s="161" t="s">
        <v>11</v>
      </c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  <c r="AA112" s="49"/>
    </row>
    <row r="113">
      <c r="A113" s="49"/>
      <c r="B113" s="49"/>
      <c r="C113" s="49"/>
      <c r="D113" s="49"/>
      <c r="E113" s="49"/>
      <c r="F113" s="49"/>
      <c r="G113" s="161" t="s">
        <v>11</v>
      </c>
      <c r="H113" s="49"/>
      <c r="I113" s="161" t="s">
        <v>11</v>
      </c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  <c r="AA113" s="49"/>
    </row>
    <row r="114">
      <c r="A114" s="49"/>
      <c r="B114" s="49"/>
      <c r="C114" s="49"/>
      <c r="D114" s="49"/>
      <c r="E114" s="49"/>
      <c r="F114" s="49"/>
      <c r="G114" s="161" t="s">
        <v>11</v>
      </c>
      <c r="H114" s="49"/>
      <c r="I114" s="161" t="s">
        <v>11</v>
      </c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  <c r="AA114" s="49"/>
    </row>
    <row r="115">
      <c r="A115" s="49"/>
      <c r="B115" s="49"/>
      <c r="C115" s="49"/>
      <c r="D115" s="49"/>
      <c r="E115" s="49"/>
      <c r="F115" s="49"/>
      <c r="G115" s="161" t="s">
        <v>11</v>
      </c>
      <c r="H115" s="49"/>
      <c r="I115" s="161" t="s">
        <v>11</v>
      </c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  <c r="AA115" s="49"/>
    </row>
    <row r="116">
      <c r="A116" s="49"/>
      <c r="B116" s="49"/>
      <c r="C116" s="49"/>
      <c r="D116" s="49"/>
      <c r="E116" s="49"/>
      <c r="F116" s="49"/>
      <c r="G116" s="161" t="s">
        <v>11</v>
      </c>
      <c r="H116" s="49"/>
      <c r="I116" s="161" t="s">
        <v>11</v>
      </c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  <c r="AA116" s="49"/>
    </row>
    <row r="117">
      <c r="A117" s="49"/>
      <c r="B117" s="49"/>
      <c r="C117" s="49"/>
      <c r="D117" s="49"/>
      <c r="E117" s="49"/>
      <c r="F117" s="49"/>
      <c r="G117" s="161" t="s">
        <v>11</v>
      </c>
      <c r="H117" s="49"/>
      <c r="I117" s="161" t="s">
        <v>11</v>
      </c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  <c r="AA117" s="49"/>
    </row>
    <row r="118">
      <c r="A118" s="49"/>
      <c r="B118" s="49"/>
      <c r="C118" s="49"/>
      <c r="D118" s="49"/>
      <c r="E118" s="49"/>
      <c r="F118" s="49"/>
      <c r="G118" s="161" t="s">
        <v>11</v>
      </c>
      <c r="H118" s="49"/>
      <c r="I118" s="161" t="s">
        <v>11</v>
      </c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  <c r="AA118" s="49"/>
    </row>
    <row r="119">
      <c r="A119" s="49"/>
      <c r="B119" s="49"/>
      <c r="C119" s="49"/>
      <c r="D119" s="49"/>
      <c r="E119" s="49"/>
      <c r="F119" s="49"/>
      <c r="G119" s="161" t="s">
        <v>11</v>
      </c>
      <c r="H119" s="49"/>
      <c r="I119" s="161" t="s">
        <v>11</v>
      </c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  <c r="AA119" s="49"/>
    </row>
    <row r="120">
      <c r="A120" s="49"/>
      <c r="B120" s="49"/>
      <c r="C120" s="49"/>
      <c r="D120" s="49"/>
      <c r="E120" s="49"/>
      <c r="F120" s="49"/>
      <c r="G120" s="161" t="s">
        <v>11</v>
      </c>
      <c r="H120" s="49"/>
      <c r="I120" s="161" t="s">
        <v>11</v>
      </c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  <c r="AA120" s="49"/>
    </row>
    <row r="121">
      <c r="A121" s="49"/>
      <c r="B121" s="49"/>
      <c r="C121" s="49"/>
      <c r="D121" s="49"/>
      <c r="E121" s="49"/>
      <c r="F121" s="49"/>
      <c r="G121" s="161" t="s">
        <v>11</v>
      </c>
      <c r="H121" s="49"/>
      <c r="I121" s="161" t="s">
        <v>11</v>
      </c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  <c r="AA121" s="49"/>
    </row>
    <row r="122">
      <c r="A122" s="49"/>
      <c r="B122" s="49"/>
      <c r="C122" s="49"/>
      <c r="D122" s="49"/>
      <c r="E122" s="49"/>
      <c r="F122" s="49"/>
      <c r="G122" s="161" t="s">
        <v>11</v>
      </c>
      <c r="H122" s="49"/>
      <c r="I122" s="161" t="s">
        <v>11</v>
      </c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  <c r="AA122" s="49"/>
    </row>
    <row r="123">
      <c r="A123" s="49"/>
      <c r="B123" s="49"/>
      <c r="C123" s="49"/>
      <c r="D123" s="49"/>
      <c r="E123" s="49"/>
      <c r="F123" s="49"/>
      <c r="G123" s="161" t="s">
        <v>11</v>
      </c>
      <c r="H123" s="49"/>
      <c r="I123" s="161" t="s">
        <v>11</v>
      </c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  <c r="AA123" s="49"/>
    </row>
    <row r="124">
      <c r="A124" s="49"/>
      <c r="B124" s="49"/>
      <c r="C124" s="49"/>
      <c r="D124" s="49"/>
      <c r="E124" s="49"/>
      <c r="F124" s="49"/>
      <c r="G124" s="161" t="s">
        <v>11</v>
      </c>
      <c r="H124" s="49"/>
      <c r="I124" s="161" t="s">
        <v>11</v>
      </c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  <c r="AA124" s="49"/>
    </row>
    <row r="125">
      <c r="A125" s="49"/>
      <c r="B125" s="49"/>
      <c r="C125" s="49"/>
      <c r="D125" s="49"/>
      <c r="E125" s="49"/>
      <c r="F125" s="49"/>
      <c r="G125" s="161" t="s">
        <v>11</v>
      </c>
      <c r="H125" s="49"/>
      <c r="I125" s="161" t="s">
        <v>11</v>
      </c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  <c r="AA125" s="49"/>
    </row>
    <row r="126">
      <c r="A126" s="49"/>
      <c r="B126" s="49"/>
      <c r="C126" s="49"/>
      <c r="D126" s="49"/>
      <c r="E126" s="49"/>
      <c r="F126" s="49"/>
      <c r="G126" s="161" t="s">
        <v>11</v>
      </c>
      <c r="H126" s="49"/>
      <c r="I126" s="161" t="s">
        <v>11</v>
      </c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</row>
    <row r="127">
      <c r="A127" s="49"/>
      <c r="B127" s="49"/>
      <c r="C127" s="49"/>
      <c r="D127" s="49"/>
      <c r="E127" s="49"/>
      <c r="F127" s="49"/>
      <c r="G127" s="161" t="s">
        <v>11</v>
      </c>
      <c r="H127" s="49"/>
      <c r="I127" s="161" t="s">
        <v>11</v>
      </c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  <c r="AA127" s="49"/>
    </row>
    <row r="128">
      <c r="A128" s="49"/>
      <c r="B128" s="49"/>
      <c r="C128" s="49"/>
      <c r="D128" s="49"/>
      <c r="E128" s="49"/>
      <c r="F128" s="49"/>
      <c r="G128" s="161" t="s">
        <v>11</v>
      </c>
      <c r="H128" s="49"/>
      <c r="I128" s="161" t="s">
        <v>11</v>
      </c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  <c r="AA128" s="49"/>
    </row>
    <row r="129">
      <c r="A129" s="49"/>
      <c r="B129" s="49"/>
      <c r="C129" s="49"/>
      <c r="D129" s="49"/>
      <c r="E129" s="49"/>
      <c r="F129" s="49"/>
      <c r="G129" s="161" t="s">
        <v>11</v>
      </c>
      <c r="H129" s="49"/>
      <c r="I129" s="161" t="s">
        <v>11</v>
      </c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  <c r="AA129" s="49"/>
    </row>
    <row r="130">
      <c r="A130" s="49"/>
      <c r="B130" s="49"/>
      <c r="C130" s="49"/>
      <c r="D130" s="49"/>
      <c r="E130" s="49"/>
      <c r="F130" s="49"/>
      <c r="G130" s="161" t="s">
        <v>11</v>
      </c>
      <c r="H130" s="49"/>
      <c r="I130" s="161" t="s">
        <v>11</v>
      </c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  <c r="AA130" s="49"/>
    </row>
    <row r="131">
      <c r="A131" s="49"/>
      <c r="B131" s="49"/>
      <c r="C131" s="49"/>
      <c r="D131" s="49"/>
      <c r="E131" s="49"/>
      <c r="F131" s="49"/>
      <c r="G131" s="161" t="s">
        <v>11</v>
      </c>
      <c r="H131" s="49"/>
      <c r="I131" s="161" t="s">
        <v>11</v>
      </c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  <c r="AA131" s="49"/>
    </row>
    <row r="132">
      <c r="A132" s="49"/>
      <c r="B132" s="49"/>
      <c r="C132" s="49"/>
      <c r="D132" s="49"/>
      <c r="E132" s="49"/>
      <c r="F132" s="49"/>
      <c r="G132" s="161" t="s">
        <v>11</v>
      </c>
      <c r="H132" s="49"/>
      <c r="I132" s="161" t="s">
        <v>11</v>
      </c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  <c r="AA132" s="49"/>
    </row>
    <row r="133">
      <c r="A133" s="49"/>
      <c r="B133" s="49"/>
      <c r="C133" s="49"/>
      <c r="D133" s="49"/>
      <c r="E133" s="49"/>
      <c r="F133" s="49"/>
      <c r="G133" s="161" t="s">
        <v>11</v>
      </c>
      <c r="H133" s="49"/>
      <c r="I133" s="161" t="s">
        <v>11</v>
      </c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</row>
    <row r="134">
      <c r="A134" s="49"/>
      <c r="B134" s="49"/>
      <c r="C134" s="49"/>
      <c r="D134" s="49"/>
      <c r="E134" s="49"/>
      <c r="F134" s="49"/>
      <c r="G134" s="161" t="s">
        <v>11</v>
      </c>
      <c r="H134" s="49"/>
      <c r="I134" s="161" t="s">
        <v>11</v>
      </c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  <c r="AA134" s="49"/>
    </row>
    <row r="135">
      <c r="A135" s="49"/>
      <c r="B135" s="49"/>
      <c r="C135" s="49"/>
      <c r="D135" s="49"/>
      <c r="E135" s="49"/>
      <c r="F135" s="49"/>
      <c r="G135" s="161" t="s">
        <v>11</v>
      </c>
      <c r="H135" s="49"/>
      <c r="I135" s="161" t="s">
        <v>11</v>
      </c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  <c r="AA135" s="49"/>
    </row>
    <row r="136">
      <c r="A136" s="49"/>
      <c r="B136" s="49"/>
      <c r="C136" s="49"/>
      <c r="D136" s="49"/>
      <c r="E136" s="49"/>
      <c r="F136" s="49"/>
      <c r="G136" s="161" t="s">
        <v>11</v>
      </c>
      <c r="H136" s="49"/>
      <c r="I136" s="161" t="s">
        <v>11</v>
      </c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  <c r="AA136" s="49"/>
    </row>
    <row r="137">
      <c r="A137" s="49"/>
      <c r="B137" s="49"/>
      <c r="C137" s="49"/>
      <c r="D137" s="49"/>
      <c r="E137" s="49"/>
      <c r="F137" s="49"/>
      <c r="G137" s="161" t="s">
        <v>11</v>
      </c>
      <c r="H137" s="49"/>
      <c r="I137" s="161" t="s">
        <v>11</v>
      </c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  <c r="AA137" s="49"/>
    </row>
    <row r="138">
      <c r="A138" s="49"/>
      <c r="B138" s="49"/>
      <c r="C138" s="49"/>
      <c r="D138" s="49"/>
      <c r="E138" s="49"/>
      <c r="F138" s="49"/>
      <c r="G138" s="161" t="s">
        <v>11</v>
      </c>
      <c r="H138" s="49"/>
      <c r="I138" s="161" t="s">
        <v>11</v>
      </c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  <c r="AA138" s="49"/>
    </row>
    <row r="139">
      <c r="A139" s="49"/>
      <c r="B139" s="49"/>
      <c r="C139" s="49"/>
      <c r="D139" s="49"/>
      <c r="E139" s="49"/>
      <c r="F139" s="49"/>
      <c r="G139" s="161" t="s">
        <v>11</v>
      </c>
      <c r="H139" s="49"/>
      <c r="I139" s="161" t="s">
        <v>11</v>
      </c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  <c r="AA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161" t="s">
        <v>11</v>
      </c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  <c r="AA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161" t="s">
        <v>11</v>
      </c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  <c r="AA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  <c r="AA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  <c r="AA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  <c r="AA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  <c r="AA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  <c r="AA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  <c r="AA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  <c r="AA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  <c r="AA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  <c r="AA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  <c r="AA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  <c r="AA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  <c r="AA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  <c r="AA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  <c r="AA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  <c r="AA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  <c r="AA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  <c r="AA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  <c r="AA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  <c r="AA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  <c r="AA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  <c r="AA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  <c r="AA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  <c r="AA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  <c r="AA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  <c r="AA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  <c r="AA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  <c r="AA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  <c r="AA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  <c r="AA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  <c r="AA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  <c r="AA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  <c r="AA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  <c r="AA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  <c r="AA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  <c r="AA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  <c r="AA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  <c r="AA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  <c r="AA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  <c r="AA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  <c r="AA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  <c r="AA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  <c r="AA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  <c r="AA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  <c r="AA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  <c r="AA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  <c r="AA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  <c r="AA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  <c r="AA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  <c r="AA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  <c r="AA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  <c r="AA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  <c r="AA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  <c r="AA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  <c r="AA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  <c r="AA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  <c r="AA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  <c r="AA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  <c r="AA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  <c r="AA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  <c r="AA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  <c r="AA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  <c r="AA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  <c r="AA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  <c r="AA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  <c r="AA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  <c r="AA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  <c r="AA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  <c r="AA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  <c r="AA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  <c r="AA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  <c r="AA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  <c r="AA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  <c r="AA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  <c r="AA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  <c r="AA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  <c r="AA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  <c r="AA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  <c r="AA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  <c r="AA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  <c r="AA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  <c r="AA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  <c r="AA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  <c r="AA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  <c r="AA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  <c r="AA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  <c r="AA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  <c r="AA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  <c r="AA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  <c r="AA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  <c r="AA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  <c r="AA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  <c r="AA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  <c r="AA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  <c r="AA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  <c r="AA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  <c r="AA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  <c r="AA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  <c r="AA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  <c r="AA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  <c r="AA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  <c r="AA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  <c r="AA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  <c r="AA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  <c r="AA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  <c r="AA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  <c r="AA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  <c r="AA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  <c r="AA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  <c r="AA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  <c r="AA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  <c r="AA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  <c r="AA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  <c r="AA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  <c r="AA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  <c r="AA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  <c r="AA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  <c r="AA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  <c r="AA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  <c r="AA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  <c r="AA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  <c r="AA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  <c r="AA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  <c r="AA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  <c r="AA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  <c r="AA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  <c r="AA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  <c r="AA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  <c r="AA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  <c r="AA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  <c r="AA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  <c r="AA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  <c r="AA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  <c r="AA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  <c r="AA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  <c r="AA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  <c r="AA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  <c r="AA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  <c r="AA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  <c r="AA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  <c r="AA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  <c r="AA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  <c r="AA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  <c r="AA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  <c r="AA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  <c r="AA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  <c r="AA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  <c r="AA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  <c r="AA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  <c r="AA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  <c r="AA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  <c r="AA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  <c r="AA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  <c r="AA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  <c r="AA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  <c r="AA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  <c r="AA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  <c r="AA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  <c r="AA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  <c r="AA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  <c r="AA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  <c r="AA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  <c r="AA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  <c r="AA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  <c r="AA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  <c r="AA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  <c r="AA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  <c r="AA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  <c r="AA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  <c r="AA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  <c r="AA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  <c r="AA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  <c r="AA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  <c r="AA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  <c r="AA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  <c r="AA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  <c r="AA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  <c r="AA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  <c r="AA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  <c r="AA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  <c r="AA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  <c r="AA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  <c r="AA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  <c r="AA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  <c r="AA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  <c r="AA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  <c r="AA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  <c r="AA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  <c r="AA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  <c r="AA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  <c r="AA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  <c r="AA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  <c r="AA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  <c r="AA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  <c r="AA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  <c r="AA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  <c r="AA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  <c r="AA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  <c r="AA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  <c r="AA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  <c r="AA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  <c r="AA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  <c r="AA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  <c r="AA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  <c r="AA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  <c r="AA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  <c r="AA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  <c r="AA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  <c r="AA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  <c r="AA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  <c r="AA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  <c r="AA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  <c r="AA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  <c r="AA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  <c r="AA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  <c r="AA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  <c r="AA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  <c r="AA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  <c r="AA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  <c r="AA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  <c r="AA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  <c r="AA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  <c r="AA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  <c r="AA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  <c r="AA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  <c r="AA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  <c r="AA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  <c r="AA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  <c r="AA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  <c r="AA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  <c r="AA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  <c r="AA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  <c r="AA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  <c r="AA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  <c r="AA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  <c r="AA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  <c r="AA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  <c r="AA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  <c r="AA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  <c r="AA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  <c r="AA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  <c r="AA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  <c r="AA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  <c r="AA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  <c r="AA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  <c r="AA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  <c r="AA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  <c r="AA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  <c r="AA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  <c r="AA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  <c r="AA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  <c r="AA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  <c r="AA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  <c r="AA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  <c r="AA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  <c r="AA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  <c r="AA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  <c r="AA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  <c r="AA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  <c r="AA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  <c r="AA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  <c r="AA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  <c r="AA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  <c r="AA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  <c r="AA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  <c r="AA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  <c r="AA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  <c r="AA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  <c r="AA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  <c r="AA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  <c r="AA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  <c r="AA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  <c r="AA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  <c r="AA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  <c r="AA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  <c r="AA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  <c r="AA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  <c r="AA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  <c r="AA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  <c r="AA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  <c r="AA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  <c r="AA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  <c r="AA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  <c r="AA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  <c r="AA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  <c r="AA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  <c r="AA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  <c r="AA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  <c r="AA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  <c r="AA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  <c r="AA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  <c r="AA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  <c r="AA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  <c r="AA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  <c r="AA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  <c r="AA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  <c r="AA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  <c r="AA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  <c r="AA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  <c r="AA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  <c r="AA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  <c r="AA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  <c r="AA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  <c r="AA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  <c r="AA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  <c r="AA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  <c r="AA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  <c r="AA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  <c r="AA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  <c r="AA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  <c r="AA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  <c r="AA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  <c r="AA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  <c r="AA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  <c r="AA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  <c r="AA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  <c r="AA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  <c r="AA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  <c r="AA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  <c r="AA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  <c r="AA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  <c r="AA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  <c r="AA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  <c r="AA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  <c r="AA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  <c r="AA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  <c r="AA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  <c r="AA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  <c r="AA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  <c r="AA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  <c r="AA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  <c r="AA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  <c r="AA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  <c r="AA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  <c r="AA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  <c r="AA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  <c r="AA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  <c r="AA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  <c r="AA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  <c r="AA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  <c r="AA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  <c r="AA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  <c r="AA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  <c r="AA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  <c r="AA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  <c r="AA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  <c r="AA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  <c r="AA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  <c r="AA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  <c r="AA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  <c r="AA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  <c r="AA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  <c r="AA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  <c r="AA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  <c r="AA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  <c r="AA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  <c r="AA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  <c r="AA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  <c r="AA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  <c r="AA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  <c r="AA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  <c r="AA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  <c r="AA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  <c r="AA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  <c r="AA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  <c r="AA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  <c r="AA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  <c r="AA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  <c r="AA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  <c r="AA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  <c r="AA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  <c r="AA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  <c r="AA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  <c r="AA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  <c r="AA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  <c r="AA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  <c r="AA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  <c r="AA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  <c r="AA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  <c r="AA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  <c r="AA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  <c r="AA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  <c r="AA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  <c r="AA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  <c r="AA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  <c r="AA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  <c r="AA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  <c r="AA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  <c r="AA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  <c r="AA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  <c r="AA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  <c r="AA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  <c r="AA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  <c r="AA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  <c r="AA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  <c r="AA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  <c r="AA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  <c r="AA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  <c r="AA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  <c r="AA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  <c r="AA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  <c r="AA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  <c r="AA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  <c r="AA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  <c r="AA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  <c r="AA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  <c r="AA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  <c r="AA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  <c r="AA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  <c r="AA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  <c r="AA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  <c r="AA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  <c r="AA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  <c r="AA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  <c r="AA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  <c r="AA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  <c r="AA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  <c r="AA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  <c r="AA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  <c r="AA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  <c r="AA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  <c r="AA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  <c r="AA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  <c r="AA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  <c r="AA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  <c r="AA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  <c r="AA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  <c r="AA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  <c r="AA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  <c r="AA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  <c r="AA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  <c r="AA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  <c r="AA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  <c r="AA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  <c r="AA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  <c r="AA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  <c r="AA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  <c r="AA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  <c r="AA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  <c r="AA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  <c r="AA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  <c r="AA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  <c r="AA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  <c r="AA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  <c r="AA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  <c r="AA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  <c r="AA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  <c r="AA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  <c r="AA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  <c r="AA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  <c r="AA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  <c r="AA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  <c r="AA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  <c r="AA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  <c r="AA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  <c r="AA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  <c r="AA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  <c r="AA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  <c r="AA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  <c r="AA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  <c r="AA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  <c r="AA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  <c r="AA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  <c r="AA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  <c r="AA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  <c r="AA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  <c r="AA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  <c r="AA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  <c r="AA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  <c r="AA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  <c r="AA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  <c r="AA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  <c r="AA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  <c r="AA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  <c r="AA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  <c r="AA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  <c r="AA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  <c r="AA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  <c r="AA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  <c r="AA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  <c r="AA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  <c r="AA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  <c r="AA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  <c r="AA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  <c r="AA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  <c r="AA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  <c r="AA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  <c r="AA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  <c r="AA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  <c r="AA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  <c r="AA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  <c r="AA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  <c r="AA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  <c r="AA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  <c r="AA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  <c r="AA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  <c r="AA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  <c r="AA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  <c r="AA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  <c r="AA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  <c r="AA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  <c r="AA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  <c r="AA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  <c r="AA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  <c r="AA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  <c r="AA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  <c r="AA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  <c r="AA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  <c r="AA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  <c r="AA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  <c r="AA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  <c r="AA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  <c r="AA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  <c r="AA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  <c r="AA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  <c r="AA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  <c r="AA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  <c r="AA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  <c r="AA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  <c r="AA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  <c r="AA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  <c r="AA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  <c r="AA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  <c r="AA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  <c r="AA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  <c r="AA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  <c r="AA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  <c r="AA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  <c r="AA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  <c r="AA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  <c r="AA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  <c r="AA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  <c r="AA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  <c r="AA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  <c r="AA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  <c r="AA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  <c r="AA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  <c r="AA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  <c r="AA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  <c r="AA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  <c r="AA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  <c r="AA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  <c r="AA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  <c r="AA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  <c r="AA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  <c r="AA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  <c r="AA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  <c r="AA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  <c r="AA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  <c r="AA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  <c r="AA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  <c r="AA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  <c r="AA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  <c r="AA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  <c r="AA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  <c r="AA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  <c r="AA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  <c r="AA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  <c r="AA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  <c r="AA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  <c r="AA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  <c r="AA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  <c r="AA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  <c r="AA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  <c r="AA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  <c r="AA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  <c r="AA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  <c r="AA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  <c r="AA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  <c r="AA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  <c r="AA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  <c r="AA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  <c r="AA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  <c r="AA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  <c r="AA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  <c r="AA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  <c r="AA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  <c r="AA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  <c r="AA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  <c r="AA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  <c r="AA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  <c r="AA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  <c r="AA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  <c r="AA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  <c r="AA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  <c r="AA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  <c r="AA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  <c r="AA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  <c r="AA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  <c r="AA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  <c r="AA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  <c r="AA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  <c r="AA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  <c r="AA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  <c r="AA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  <c r="AA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  <c r="AA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  <c r="AA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  <c r="AA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  <c r="AA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  <c r="AA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  <c r="AA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  <c r="AA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  <c r="AA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  <c r="AA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  <c r="AA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  <c r="AA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  <c r="AA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  <c r="AA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  <c r="AA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  <c r="AA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  <c r="AA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  <c r="AA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  <c r="AA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  <c r="AA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  <c r="AA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  <c r="AA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  <c r="AA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  <c r="AA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  <c r="AA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  <c r="AA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  <c r="AA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  <c r="AA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  <c r="AA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  <c r="AA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  <c r="AA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  <c r="AA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  <c r="AA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  <c r="AA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  <c r="AA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  <c r="AA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  <c r="AA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  <c r="AA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  <c r="AA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  <c r="AA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  <c r="AA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  <c r="AA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  <c r="AA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  <c r="AA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  <c r="AA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  <c r="AA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  <c r="AA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  <c r="AA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  <c r="AA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  <c r="AA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  <c r="AA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  <c r="AA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  <c r="AA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  <c r="AA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  <c r="AA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  <c r="AA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  <c r="AA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  <c r="AA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  <c r="AA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  <c r="AA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  <c r="AA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  <c r="AA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  <c r="AA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  <c r="AA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  <c r="AA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  <c r="AA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  <c r="AA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  <c r="AA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  <c r="AA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  <c r="AA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  <c r="AA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  <c r="AA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  <c r="AA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  <c r="AA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  <c r="AA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  <c r="AA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  <c r="AA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  <c r="AA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  <c r="AA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  <c r="AA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  <c r="AA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  <c r="AA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  <c r="AA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  <c r="AA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  <c r="AA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  <c r="AA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  <c r="AA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  <c r="AA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  <c r="AA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  <c r="AA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  <c r="AA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  <c r="AA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  <c r="AA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  <c r="AA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  <c r="AA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  <c r="AA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  <c r="AA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  <c r="AA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  <c r="AA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  <c r="AA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  <c r="AA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  <c r="AA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  <c r="AA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  <c r="AA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  <c r="AA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  <c r="AA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  <c r="AA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  <c r="AA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  <c r="AA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  <c r="AA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  <c r="AA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  <c r="AA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  <c r="AA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  <c r="AA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  <c r="AA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  <c r="AA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  <c r="AA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  <c r="AA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  <c r="AA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  <c r="AA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  <c r="AA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  <c r="AA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  <c r="AA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  <c r="AA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  <c r="AA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  <c r="AA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  <c r="AA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  <c r="AA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  <c r="AA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  <c r="AA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  <c r="AA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  <c r="AA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  <c r="AA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  <c r="AA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  <c r="AA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  <c r="AA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  <c r="AA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  <c r="AA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  <c r="AA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  <c r="AA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  <c r="AA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  <c r="AA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  <c r="AA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  <c r="AA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  <c r="AA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  <c r="AA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  <c r="AA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  <c r="AA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  <c r="AA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  <c r="AA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  <c r="AA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  <c r="AA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  <c r="AA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  <c r="AA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  <c r="AA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  <c r="AA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  <c r="AA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  <c r="AA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  <c r="AA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  <c r="AA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  <c r="AA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  <c r="AA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  <c r="AA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  <c r="AA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  <c r="AA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  <c r="AA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  <c r="AA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  <c r="AA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  <c r="AA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  <c r="AA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  <c r="AA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  <c r="AA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  <c r="AA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  <c r="AA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  <c r="AA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  <c r="AA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  <c r="AA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  <c r="AA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  <c r="AA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  <c r="AA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  <c r="AA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  <c r="AA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  <c r="AA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  <c r="AA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  <c r="AA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  <c r="AA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  <c r="AA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  <c r="AA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  <c r="AA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  <c r="AA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  <c r="AA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  <c r="AA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  <c r="AA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  <c r="AA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  <c r="AA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  <c r="AA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  <c r="AA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  <c r="AA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  <c r="AA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  <c r="AA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  <c r="AA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  <c r="AA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  <c r="AA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  <c r="AA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  <c r="AA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  <c r="AA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  <c r="AA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  <c r="AA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  <c r="AA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  <c r="AA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  <c r="AA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  <c r="AA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  <c r="AA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  <c r="AA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  <c r="AA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  <c r="AA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  <c r="AA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  <c r="AA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  <c r="AA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  <c r="AA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  <c r="AA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  <c r="AA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  <c r="AA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  <c r="AA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  <c r="AA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  <c r="AA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  <c r="AA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  <c r="AA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  <c r="AA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  <c r="AA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  <c r="AA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  <c r="AA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  <c r="AA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  <c r="AA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  <c r="AA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  <c r="AA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  <c r="AA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  <c r="AA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  <c r="AA1000" s="49"/>
    </row>
    <row r="1001">
      <c r="A1001" s="49"/>
      <c r="B1001" s="49"/>
      <c r="C1001" s="49"/>
      <c r="D1001" s="49"/>
      <c r="E1001" s="49"/>
      <c r="F1001" s="49"/>
      <c r="G1001" s="49"/>
      <c r="H1001" s="49"/>
      <c r="I1001" s="49"/>
      <c r="J1001" s="49"/>
      <c r="K1001" s="49"/>
      <c r="L1001" s="49"/>
      <c r="M1001" s="49"/>
      <c r="N1001" s="49"/>
      <c r="O1001" s="49"/>
      <c r="P1001" s="49"/>
      <c r="Q1001" s="49"/>
      <c r="R1001" s="49"/>
      <c r="S1001" s="49"/>
      <c r="T1001" s="49"/>
      <c r="U1001" s="49"/>
      <c r="V1001" s="49"/>
      <c r="W1001" s="49"/>
      <c r="X1001" s="49"/>
      <c r="Y1001" s="49"/>
      <c r="Z1001" s="49"/>
      <c r="AA1001" s="49"/>
    </row>
    <row r="1002">
      <c r="A1002" s="49"/>
      <c r="B1002" s="49"/>
      <c r="C1002" s="49"/>
      <c r="D1002" s="49"/>
      <c r="E1002" s="49"/>
      <c r="F1002" s="49"/>
      <c r="G1002" s="49"/>
      <c r="H1002" s="49"/>
      <c r="I1002" s="49"/>
      <c r="J1002" s="49"/>
      <c r="K1002" s="49"/>
      <c r="L1002" s="49"/>
      <c r="M1002" s="49"/>
      <c r="N1002" s="49"/>
      <c r="O1002" s="49"/>
      <c r="P1002" s="49"/>
      <c r="Q1002" s="49"/>
      <c r="R1002" s="49"/>
      <c r="S1002" s="49"/>
      <c r="T1002" s="49"/>
      <c r="U1002" s="49"/>
      <c r="V1002" s="49"/>
      <c r="W1002" s="49"/>
      <c r="X1002" s="49"/>
      <c r="Y1002" s="49"/>
      <c r="Z1002" s="49"/>
      <c r="AA1002" s="49"/>
    </row>
    <row r="1003">
      <c r="A1003" s="49"/>
      <c r="B1003" s="49"/>
      <c r="C1003" s="49"/>
      <c r="D1003" s="49"/>
      <c r="E1003" s="49"/>
      <c r="F1003" s="49"/>
      <c r="G1003" s="49"/>
      <c r="H1003" s="49"/>
      <c r="I1003" s="49"/>
      <c r="J1003" s="49"/>
      <c r="K1003" s="49"/>
      <c r="L1003" s="49"/>
      <c r="M1003" s="49"/>
      <c r="N1003" s="49"/>
      <c r="O1003" s="49"/>
      <c r="P1003" s="49"/>
      <c r="Q1003" s="49"/>
      <c r="R1003" s="49"/>
      <c r="S1003" s="49"/>
      <c r="T1003" s="49"/>
      <c r="U1003" s="49"/>
      <c r="V1003" s="49"/>
      <c r="W1003" s="49"/>
      <c r="X1003" s="49"/>
      <c r="Y1003" s="49"/>
      <c r="Z1003" s="49"/>
      <c r="AA1003" s="49"/>
    </row>
    <row r="1004">
      <c r="A1004" s="49"/>
      <c r="B1004" s="49"/>
      <c r="C1004" s="49"/>
      <c r="D1004" s="49"/>
      <c r="E1004" s="49"/>
      <c r="F1004" s="49"/>
      <c r="G1004" s="49"/>
      <c r="H1004" s="49"/>
      <c r="I1004" s="49"/>
      <c r="J1004" s="49"/>
      <c r="K1004" s="49"/>
      <c r="L1004" s="49"/>
      <c r="M1004" s="49"/>
      <c r="N1004" s="49"/>
      <c r="O1004" s="49"/>
      <c r="P1004" s="49"/>
      <c r="Q1004" s="49"/>
      <c r="R1004" s="49"/>
      <c r="S1004" s="49"/>
      <c r="T1004" s="49"/>
      <c r="U1004" s="49"/>
      <c r="V1004" s="49"/>
      <c r="W1004" s="49"/>
      <c r="X1004" s="49"/>
      <c r="Y1004" s="49"/>
      <c r="Z1004" s="49"/>
      <c r="AA1004" s="49"/>
    </row>
    <row r="1005">
      <c r="A1005" s="49"/>
      <c r="B1005" s="49"/>
      <c r="C1005" s="49"/>
      <c r="D1005" s="49"/>
      <c r="E1005" s="49"/>
      <c r="F1005" s="49"/>
      <c r="G1005" s="49"/>
      <c r="H1005" s="49"/>
      <c r="I1005" s="49"/>
      <c r="J1005" s="49"/>
      <c r="K1005" s="49"/>
      <c r="L1005" s="49"/>
      <c r="M1005" s="49"/>
      <c r="N1005" s="49"/>
      <c r="O1005" s="49"/>
      <c r="P1005" s="49"/>
      <c r="Q1005" s="49"/>
      <c r="R1005" s="49"/>
      <c r="S1005" s="49"/>
      <c r="T1005" s="49"/>
      <c r="U1005" s="49"/>
      <c r="V1005" s="49"/>
      <c r="W1005" s="49"/>
      <c r="X1005" s="49"/>
      <c r="Y1005" s="49"/>
      <c r="Z1005" s="49"/>
      <c r="AA1005" s="49"/>
    </row>
    <row r="1006">
      <c r="A1006" s="49"/>
      <c r="B1006" s="49"/>
      <c r="C1006" s="49"/>
      <c r="D1006" s="49"/>
      <c r="E1006" s="49"/>
      <c r="F1006" s="49"/>
      <c r="G1006" s="49"/>
      <c r="H1006" s="49"/>
      <c r="I1006" s="49"/>
      <c r="J1006" s="49"/>
      <c r="K1006" s="49"/>
      <c r="L1006" s="49"/>
      <c r="M1006" s="49"/>
      <c r="N1006" s="49"/>
      <c r="O1006" s="49"/>
      <c r="P1006" s="49"/>
      <c r="Q1006" s="49"/>
      <c r="R1006" s="49"/>
      <c r="S1006" s="49"/>
      <c r="T1006" s="49"/>
      <c r="U1006" s="49"/>
      <c r="V1006" s="49"/>
      <c r="W1006" s="49"/>
      <c r="X1006" s="49"/>
      <c r="Y1006" s="49"/>
      <c r="Z1006" s="49"/>
      <c r="AA1006" s="49"/>
    </row>
    <row r="1007">
      <c r="A1007" s="49"/>
      <c r="B1007" s="49"/>
      <c r="C1007" s="49"/>
      <c r="D1007" s="49"/>
      <c r="E1007" s="49"/>
      <c r="F1007" s="49"/>
      <c r="G1007" s="49"/>
      <c r="H1007" s="49"/>
      <c r="I1007" s="49"/>
      <c r="J1007" s="49"/>
      <c r="K1007" s="49"/>
      <c r="L1007" s="49"/>
      <c r="M1007" s="49"/>
      <c r="N1007" s="49"/>
      <c r="O1007" s="49"/>
      <c r="P1007" s="49"/>
      <c r="Q1007" s="49"/>
      <c r="R1007" s="49"/>
      <c r="S1007" s="49"/>
      <c r="T1007" s="49"/>
      <c r="U1007" s="49"/>
      <c r="V1007" s="49"/>
      <c r="W1007" s="49"/>
      <c r="X1007" s="49"/>
      <c r="Y1007" s="49"/>
      <c r="Z1007" s="49"/>
      <c r="AA1007" s="49"/>
    </row>
    <row r="1008">
      <c r="A1008" s="49"/>
      <c r="B1008" s="49"/>
      <c r="C1008" s="49"/>
      <c r="D1008" s="49"/>
      <c r="E1008" s="49"/>
      <c r="F1008" s="49"/>
      <c r="G1008" s="49"/>
      <c r="H1008" s="49"/>
      <c r="I1008" s="49"/>
      <c r="J1008" s="49"/>
      <c r="K1008" s="49"/>
      <c r="L1008" s="49"/>
      <c r="M1008" s="49"/>
      <c r="N1008" s="49"/>
      <c r="O1008" s="49"/>
      <c r="P1008" s="49"/>
      <c r="Q1008" s="49"/>
      <c r="R1008" s="49"/>
      <c r="S1008" s="49"/>
      <c r="T1008" s="49"/>
      <c r="U1008" s="49"/>
      <c r="V1008" s="49"/>
      <c r="W1008" s="49"/>
      <c r="X1008" s="49"/>
      <c r="Y1008" s="49"/>
      <c r="Z1008" s="49"/>
      <c r="AA1008" s="49"/>
    </row>
    <row r="1009">
      <c r="A1009" s="49"/>
      <c r="B1009" s="49"/>
      <c r="C1009" s="49"/>
      <c r="D1009" s="49"/>
      <c r="E1009" s="49"/>
      <c r="F1009" s="49"/>
      <c r="G1009" s="49"/>
      <c r="H1009" s="49"/>
      <c r="I1009" s="49"/>
      <c r="J1009" s="49"/>
      <c r="K1009" s="49"/>
      <c r="L1009" s="49"/>
      <c r="M1009" s="49"/>
      <c r="N1009" s="49"/>
      <c r="O1009" s="49"/>
      <c r="P1009" s="49"/>
      <c r="Q1009" s="49"/>
      <c r="R1009" s="49"/>
      <c r="S1009" s="49"/>
      <c r="T1009" s="49"/>
      <c r="U1009" s="49"/>
      <c r="V1009" s="49"/>
      <c r="W1009" s="49"/>
      <c r="X1009" s="49"/>
      <c r="Y1009" s="49"/>
      <c r="Z1009" s="49"/>
      <c r="AA1009" s="49"/>
    </row>
    <row r="1010">
      <c r="A1010" s="49"/>
      <c r="B1010" s="49"/>
      <c r="C1010" s="49"/>
      <c r="D1010" s="49"/>
      <c r="E1010" s="49"/>
      <c r="F1010" s="49"/>
      <c r="G1010" s="49"/>
      <c r="H1010" s="49"/>
      <c r="I1010" s="49"/>
      <c r="J1010" s="49"/>
      <c r="K1010" s="49"/>
      <c r="L1010" s="49"/>
      <c r="M1010" s="49"/>
      <c r="N1010" s="49"/>
      <c r="O1010" s="49"/>
      <c r="P1010" s="49"/>
      <c r="Q1010" s="49"/>
      <c r="R1010" s="49"/>
      <c r="S1010" s="49"/>
      <c r="T1010" s="49"/>
      <c r="U1010" s="49"/>
      <c r="V1010" s="49"/>
      <c r="W1010" s="49"/>
      <c r="X1010" s="49"/>
      <c r="Y1010" s="49"/>
      <c r="Z1010" s="49"/>
      <c r="AA1010" s="49"/>
    </row>
    <row r="1011">
      <c r="A1011" s="49"/>
      <c r="B1011" s="49"/>
      <c r="C1011" s="49"/>
      <c r="D1011" s="49"/>
      <c r="E1011" s="49"/>
      <c r="F1011" s="49"/>
      <c r="G1011" s="49"/>
      <c r="H1011" s="49"/>
      <c r="I1011" s="49"/>
      <c r="J1011" s="49"/>
      <c r="K1011" s="49"/>
      <c r="L1011" s="49"/>
      <c r="M1011" s="49"/>
      <c r="N1011" s="49"/>
      <c r="O1011" s="49"/>
      <c r="P1011" s="49"/>
      <c r="Q1011" s="49"/>
      <c r="R1011" s="49"/>
      <c r="S1011" s="49"/>
      <c r="T1011" s="49"/>
      <c r="U1011" s="49"/>
      <c r="V1011" s="49"/>
      <c r="W1011" s="49"/>
      <c r="X1011" s="49"/>
      <c r="Y1011" s="49"/>
      <c r="Z1011" s="49"/>
      <c r="AA1011" s="49"/>
    </row>
    <row r="1012">
      <c r="A1012" s="49"/>
      <c r="B1012" s="49"/>
      <c r="C1012" s="49"/>
      <c r="D1012" s="49"/>
      <c r="E1012" s="49"/>
      <c r="F1012" s="49"/>
      <c r="G1012" s="49"/>
      <c r="H1012" s="49"/>
      <c r="I1012" s="49"/>
      <c r="J1012" s="49"/>
      <c r="K1012" s="49"/>
      <c r="L1012" s="49"/>
      <c r="M1012" s="49"/>
      <c r="N1012" s="49"/>
      <c r="O1012" s="49"/>
      <c r="P1012" s="49"/>
      <c r="Q1012" s="49"/>
      <c r="R1012" s="49"/>
      <c r="S1012" s="49"/>
      <c r="T1012" s="49"/>
      <c r="U1012" s="49"/>
      <c r="V1012" s="49"/>
      <c r="W1012" s="49"/>
      <c r="X1012" s="49"/>
      <c r="Y1012" s="49"/>
      <c r="Z1012" s="49"/>
      <c r="AA1012" s="49"/>
    </row>
    <row r="1013">
      <c r="A1013" s="49"/>
      <c r="B1013" s="49"/>
      <c r="C1013" s="49"/>
      <c r="D1013" s="49"/>
      <c r="E1013" s="49"/>
      <c r="F1013" s="49"/>
      <c r="G1013" s="49"/>
      <c r="H1013" s="49"/>
      <c r="I1013" s="49"/>
      <c r="J1013" s="49"/>
      <c r="K1013" s="49"/>
      <c r="L1013" s="49"/>
      <c r="M1013" s="49"/>
      <c r="N1013" s="49"/>
      <c r="O1013" s="49"/>
      <c r="P1013" s="49"/>
      <c r="Q1013" s="49"/>
      <c r="R1013" s="49"/>
      <c r="S1013" s="49"/>
      <c r="T1013" s="49"/>
      <c r="U1013" s="49"/>
      <c r="V1013" s="49"/>
      <c r="W1013" s="49"/>
      <c r="X1013" s="49"/>
      <c r="Y1013" s="49"/>
      <c r="Z1013" s="49"/>
      <c r="AA1013" s="49"/>
    </row>
    <row r="1014">
      <c r="A1014" s="49"/>
      <c r="B1014" s="49"/>
      <c r="C1014" s="49"/>
      <c r="D1014" s="49"/>
      <c r="E1014" s="49"/>
      <c r="F1014" s="49"/>
      <c r="G1014" s="49"/>
      <c r="H1014" s="49"/>
      <c r="I1014" s="49"/>
      <c r="J1014" s="49"/>
      <c r="K1014" s="49"/>
      <c r="L1014" s="49"/>
      <c r="M1014" s="49"/>
      <c r="N1014" s="49"/>
      <c r="O1014" s="49"/>
      <c r="P1014" s="49"/>
      <c r="Q1014" s="49"/>
      <c r="R1014" s="49"/>
      <c r="S1014" s="49"/>
      <c r="T1014" s="49"/>
      <c r="U1014" s="49"/>
      <c r="V1014" s="49"/>
      <c r="W1014" s="49"/>
      <c r="X1014" s="49"/>
      <c r="Y1014" s="49"/>
      <c r="Z1014" s="49"/>
      <c r="AA1014" s="49"/>
    </row>
    <row r="1015">
      <c r="A1015" s="49"/>
      <c r="B1015" s="49"/>
      <c r="C1015" s="49"/>
      <c r="D1015" s="49"/>
      <c r="E1015" s="49"/>
      <c r="F1015" s="49"/>
      <c r="G1015" s="49"/>
      <c r="H1015" s="49"/>
      <c r="I1015" s="49"/>
      <c r="J1015" s="49"/>
      <c r="K1015" s="49"/>
      <c r="L1015" s="49"/>
      <c r="M1015" s="49"/>
      <c r="N1015" s="49"/>
      <c r="O1015" s="49"/>
      <c r="P1015" s="49"/>
      <c r="Q1015" s="49"/>
      <c r="R1015" s="49"/>
      <c r="S1015" s="49"/>
      <c r="T1015" s="49"/>
      <c r="U1015" s="49"/>
      <c r="V1015" s="49"/>
      <c r="W1015" s="49"/>
      <c r="X1015" s="49"/>
      <c r="Y1015" s="49"/>
      <c r="Z1015" s="49"/>
      <c r="AA1015" s="49"/>
    </row>
    <row r="1016">
      <c r="A1016" s="49"/>
      <c r="B1016" s="49"/>
      <c r="C1016" s="49"/>
      <c r="D1016" s="49"/>
      <c r="E1016" s="49"/>
      <c r="F1016" s="49"/>
      <c r="G1016" s="49"/>
      <c r="H1016" s="49"/>
      <c r="I1016" s="49"/>
      <c r="J1016" s="49"/>
      <c r="K1016" s="49"/>
      <c r="L1016" s="49"/>
      <c r="M1016" s="49"/>
      <c r="N1016" s="49"/>
      <c r="O1016" s="49"/>
      <c r="P1016" s="49"/>
      <c r="Q1016" s="49"/>
      <c r="R1016" s="49"/>
      <c r="S1016" s="49"/>
      <c r="T1016" s="49"/>
      <c r="U1016" s="49"/>
      <c r="V1016" s="49"/>
      <c r="W1016" s="49"/>
      <c r="X1016" s="49"/>
      <c r="Y1016" s="49"/>
      <c r="Z1016" s="49"/>
      <c r="AA1016" s="49"/>
    </row>
    <row r="1017">
      <c r="A1017" s="49"/>
      <c r="B1017" s="49"/>
      <c r="C1017" s="49"/>
      <c r="D1017" s="49"/>
      <c r="E1017" s="49"/>
      <c r="F1017" s="49"/>
      <c r="G1017" s="49"/>
      <c r="H1017" s="49"/>
      <c r="I1017" s="49"/>
      <c r="J1017" s="49"/>
      <c r="K1017" s="49"/>
      <c r="L1017" s="49"/>
      <c r="M1017" s="49"/>
      <c r="N1017" s="49"/>
      <c r="O1017" s="49"/>
      <c r="P1017" s="49"/>
      <c r="Q1017" s="49"/>
      <c r="R1017" s="49"/>
      <c r="S1017" s="49"/>
      <c r="T1017" s="49"/>
      <c r="U1017" s="49"/>
      <c r="V1017" s="49"/>
      <c r="W1017" s="49"/>
      <c r="X1017" s="49"/>
      <c r="Y1017" s="49"/>
      <c r="Z1017" s="49"/>
      <c r="AA1017" s="49"/>
    </row>
    <row r="1018">
      <c r="A1018" s="49"/>
      <c r="B1018" s="49"/>
      <c r="C1018" s="49"/>
      <c r="D1018" s="49"/>
      <c r="E1018" s="49"/>
      <c r="F1018" s="49"/>
      <c r="G1018" s="49"/>
      <c r="H1018" s="49"/>
      <c r="I1018" s="49"/>
      <c r="J1018" s="49"/>
      <c r="K1018" s="49"/>
      <c r="L1018" s="49"/>
      <c r="M1018" s="49"/>
      <c r="N1018" s="49"/>
      <c r="O1018" s="49"/>
      <c r="P1018" s="49"/>
      <c r="Q1018" s="49"/>
      <c r="R1018" s="49"/>
      <c r="S1018" s="49"/>
      <c r="T1018" s="49"/>
      <c r="U1018" s="49"/>
      <c r="V1018" s="49"/>
      <c r="W1018" s="49"/>
      <c r="X1018" s="49"/>
      <c r="Y1018" s="49"/>
      <c r="Z1018" s="49"/>
      <c r="AA1018" s="49"/>
    </row>
    <row r="1019">
      <c r="A1019" s="49"/>
      <c r="B1019" s="49"/>
      <c r="C1019" s="49"/>
      <c r="D1019" s="49"/>
      <c r="E1019" s="49"/>
      <c r="F1019" s="49"/>
      <c r="G1019" s="49"/>
      <c r="H1019" s="49"/>
      <c r="I1019" s="49"/>
      <c r="J1019" s="49"/>
      <c r="K1019" s="49"/>
      <c r="L1019" s="49"/>
      <c r="M1019" s="49"/>
      <c r="N1019" s="49"/>
      <c r="O1019" s="49"/>
      <c r="P1019" s="49"/>
      <c r="Q1019" s="49"/>
      <c r="R1019" s="49"/>
      <c r="S1019" s="49"/>
      <c r="T1019" s="49"/>
      <c r="U1019" s="49"/>
      <c r="V1019" s="49"/>
      <c r="W1019" s="49"/>
      <c r="X1019" s="49"/>
      <c r="Y1019" s="49"/>
      <c r="Z1019" s="49"/>
      <c r="AA1019" s="49"/>
    </row>
    <row r="1020">
      <c r="A1020" s="49"/>
      <c r="B1020" s="49"/>
      <c r="C1020" s="49"/>
      <c r="D1020" s="49"/>
      <c r="E1020" s="49"/>
      <c r="F1020" s="49"/>
      <c r="G1020" s="49"/>
      <c r="H1020" s="49"/>
      <c r="I1020" s="49"/>
      <c r="J1020" s="49"/>
      <c r="K1020" s="49"/>
      <c r="L1020" s="49"/>
      <c r="M1020" s="49"/>
      <c r="N1020" s="49"/>
      <c r="O1020" s="49"/>
      <c r="P1020" s="49"/>
      <c r="Q1020" s="49"/>
      <c r="R1020" s="49"/>
      <c r="S1020" s="49"/>
      <c r="T1020" s="49"/>
      <c r="U1020" s="49"/>
      <c r="V1020" s="49"/>
      <c r="W1020" s="49"/>
      <c r="X1020" s="49"/>
      <c r="Y1020" s="49"/>
      <c r="Z1020" s="49"/>
      <c r="AA1020" s="49"/>
    </row>
    <row r="1021">
      <c r="A1021" s="49"/>
      <c r="B1021" s="49"/>
      <c r="C1021" s="49"/>
      <c r="D1021" s="49"/>
      <c r="E1021" s="49"/>
      <c r="F1021" s="49"/>
      <c r="G1021" s="49"/>
      <c r="H1021" s="49"/>
      <c r="I1021" s="49"/>
      <c r="J1021" s="49"/>
      <c r="K1021" s="49"/>
      <c r="L1021" s="49"/>
      <c r="M1021" s="49"/>
      <c r="N1021" s="49"/>
      <c r="O1021" s="49"/>
      <c r="P1021" s="49"/>
      <c r="Q1021" s="49"/>
      <c r="R1021" s="49"/>
      <c r="S1021" s="49"/>
      <c r="T1021" s="49"/>
      <c r="U1021" s="49"/>
      <c r="V1021" s="49"/>
      <c r="W1021" s="49"/>
      <c r="X1021" s="49"/>
      <c r="Y1021" s="49"/>
      <c r="Z1021" s="49"/>
      <c r="AA1021" s="49"/>
    </row>
    <row r="1022">
      <c r="A1022" s="49"/>
      <c r="B1022" s="49"/>
      <c r="C1022" s="49"/>
      <c r="D1022" s="49"/>
      <c r="E1022" s="49"/>
      <c r="F1022" s="49"/>
      <c r="G1022" s="49"/>
      <c r="H1022" s="49"/>
      <c r="I1022" s="49"/>
      <c r="J1022" s="49"/>
      <c r="K1022" s="49"/>
      <c r="L1022" s="49"/>
      <c r="M1022" s="49"/>
      <c r="N1022" s="49"/>
      <c r="O1022" s="49"/>
      <c r="P1022" s="49"/>
      <c r="Q1022" s="49"/>
      <c r="R1022" s="49"/>
      <c r="S1022" s="49"/>
      <c r="T1022" s="49"/>
      <c r="U1022" s="49"/>
      <c r="V1022" s="49"/>
      <c r="W1022" s="49"/>
      <c r="X1022" s="49"/>
      <c r="Y1022" s="49"/>
      <c r="Z1022" s="49"/>
      <c r="AA1022" s="49"/>
    </row>
    <row r="1023">
      <c r="A1023" s="49"/>
      <c r="B1023" s="49"/>
      <c r="C1023" s="49"/>
      <c r="D1023" s="49"/>
      <c r="E1023" s="49"/>
      <c r="F1023" s="49"/>
      <c r="G1023" s="49"/>
      <c r="H1023" s="49"/>
      <c r="I1023" s="49"/>
      <c r="J1023" s="49"/>
      <c r="K1023" s="49"/>
      <c r="L1023" s="49"/>
      <c r="M1023" s="49"/>
      <c r="N1023" s="49"/>
      <c r="O1023" s="49"/>
      <c r="P1023" s="49"/>
      <c r="Q1023" s="49"/>
      <c r="R1023" s="49"/>
      <c r="S1023" s="49"/>
      <c r="T1023" s="49"/>
      <c r="U1023" s="49"/>
      <c r="V1023" s="49"/>
      <c r="W1023" s="49"/>
      <c r="X1023" s="49"/>
      <c r="Y1023" s="49"/>
      <c r="Z1023" s="49"/>
      <c r="AA1023" s="49"/>
    </row>
    <row r="1024">
      <c r="A1024" s="49"/>
      <c r="B1024" s="49"/>
      <c r="C1024" s="49"/>
      <c r="D1024" s="49"/>
      <c r="E1024" s="49"/>
      <c r="F1024" s="49"/>
      <c r="G1024" s="49"/>
      <c r="H1024" s="49"/>
      <c r="I1024" s="49"/>
      <c r="J1024" s="49"/>
      <c r="K1024" s="49"/>
      <c r="L1024" s="49"/>
      <c r="M1024" s="49"/>
      <c r="N1024" s="49"/>
      <c r="O1024" s="49"/>
      <c r="P1024" s="49"/>
      <c r="Q1024" s="49"/>
      <c r="R1024" s="49"/>
      <c r="S1024" s="49"/>
      <c r="T1024" s="49"/>
      <c r="U1024" s="49"/>
      <c r="V1024" s="49"/>
      <c r="W1024" s="49"/>
      <c r="X1024" s="49"/>
      <c r="Y1024" s="49"/>
      <c r="Z1024" s="49"/>
      <c r="AA1024" s="49"/>
    </row>
    <row r="1025">
      <c r="A1025" s="49"/>
      <c r="B1025" s="49"/>
      <c r="C1025" s="49"/>
      <c r="D1025" s="49"/>
      <c r="E1025" s="49"/>
      <c r="F1025" s="49"/>
      <c r="G1025" s="49"/>
      <c r="H1025" s="49"/>
      <c r="I1025" s="49"/>
      <c r="J1025" s="49"/>
      <c r="K1025" s="49"/>
      <c r="L1025" s="49"/>
      <c r="M1025" s="49"/>
      <c r="N1025" s="49"/>
      <c r="O1025" s="49"/>
      <c r="P1025" s="49"/>
      <c r="Q1025" s="49"/>
      <c r="R1025" s="49"/>
      <c r="S1025" s="49"/>
      <c r="T1025" s="49"/>
      <c r="U1025" s="49"/>
      <c r="V1025" s="49"/>
      <c r="W1025" s="49"/>
      <c r="X1025" s="49"/>
      <c r="Y1025" s="49"/>
      <c r="Z1025" s="49"/>
      <c r="AA1025" s="49"/>
    </row>
    <row r="1026">
      <c r="A1026" s="49"/>
      <c r="B1026" s="49"/>
      <c r="C1026" s="49"/>
      <c r="D1026" s="49"/>
      <c r="E1026" s="49"/>
      <c r="F1026" s="49"/>
      <c r="G1026" s="49"/>
      <c r="H1026" s="49"/>
      <c r="I1026" s="49"/>
      <c r="J1026" s="49"/>
      <c r="K1026" s="49"/>
      <c r="L1026" s="49"/>
      <c r="M1026" s="49"/>
      <c r="N1026" s="49"/>
      <c r="O1026" s="49"/>
      <c r="P1026" s="49"/>
      <c r="Q1026" s="49"/>
      <c r="R1026" s="49"/>
      <c r="S1026" s="49"/>
      <c r="T1026" s="49"/>
      <c r="U1026" s="49"/>
      <c r="V1026" s="49"/>
      <c r="W1026" s="49"/>
      <c r="X1026" s="49"/>
      <c r="Y1026" s="49"/>
      <c r="Z1026" s="49"/>
      <c r="AA1026" s="49"/>
    </row>
    <row r="1027">
      <c r="A1027" s="49"/>
      <c r="B1027" s="49"/>
      <c r="C1027" s="49"/>
      <c r="D1027" s="49"/>
      <c r="E1027" s="49"/>
      <c r="F1027" s="49"/>
      <c r="G1027" s="49"/>
      <c r="H1027" s="49"/>
      <c r="I1027" s="49"/>
      <c r="J1027" s="49"/>
      <c r="K1027" s="49"/>
      <c r="L1027" s="49"/>
      <c r="M1027" s="49"/>
      <c r="N1027" s="49"/>
      <c r="O1027" s="49"/>
      <c r="P1027" s="49"/>
      <c r="Q1027" s="49"/>
      <c r="R1027" s="49"/>
      <c r="S1027" s="49"/>
      <c r="T1027" s="49"/>
      <c r="U1027" s="49"/>
      <c r="V1027" s="49"/>
      <c r="W1027" s="49"/>
      <c r="X1027" s="49"/>
      <c r="Y1027" s="49"/>
      <c r="Z1027" s="49"/>
      <c r="AA1027" s="49"/>
    </row>
    <row r="1028">
      <c r="A1028" s="49"/>
      <c r="B1028" s="49"/>
      <c r="C1028" s="49"/>
      <c r="D1028" s="49"/>
      <c r="E1028" s="49"/>
      <c r="F1028" s="49"/>
      <c r="G1028" s="49"/>
      <c r="H1028" s="49"/>
      <c r="I1028" s="49"/>
      <c r="J1028" s="49"/>
      <c r="K1028" s="49"/>
      <c r="L1028" s="49"/>
      <c r="M1028" s="49"/>
      <c r="N1028" s="49"/>
      <c r="O1028" s="49"/>
      <c r="P1028" s="49"/>
      <c r="Q1028" s="49"/>
      <c r="R1028" s="49"/>
      <c r="S1028" s="49"/>
      <c r="T1028" s="49"/>
      <c r="U1028" s="49"/>
      <c r="V1028" s="49"/>
      <c r="W1028" s="49"/>
      <c r="X1028" s="49"/>
      <c r="Y1028" s="49"/>
      <c r="Z1028" s="49"/>
      <c r="AA1028" s="49"/>
    </row>
    <row r="1029">
      <c r="A1029" s="49"/>
      <c r="B1029" s="49"/>
      <c r="C1029" s="49"/>
      <c r="D1029" s="49"/>
      <c r="E1029" s="49"/>
      <c r="F1029" s="49"/>
      <c r="G1029" s="49"/>
      <c r="H1029" s="49"/>
      <c r="I1029" s="49"/>
      <c r="J1029" s="49"/>
      <c r="K1029" s="49"/>
      <c r="L1029" s="49"/>
      <c r="M1029" s="49"/>
      <c r="N1029" s="49"/>
      <c r="O1029" s="49"/>
      <c r="P1029" s="49"/>
      <c r="Q1029" s="49"/>
      <c r="R1029" s="49"/>
      <c r="S1029" s="49"/>
      <c r="T1029" s="49"/>
      <c r="U1029" s="49"/>
      <c r="V1029" s="49"/>
      <c r="W1029" s="49"/>
      <c r="X1029" s="49"/>
      <c r="Y1029" s="49"/>
      <c r="Z1029" s="49"/>
      <c r="AA1029" s="49"/>
    </row>
    <row r="1030">
      <c r="A1030" s="49"/>
      <c r="B1030" s="49"/>
      <c r="C1030" s="49"/>
      <c r="D1030" s="49"/>
      <c r="E1030" s="49"/>
      <c r="F1030" s="49"/>
      <c r="G1030" s="49"/>
      <c r="H1030" s="49"/>
      <c r="I1030" s="49"/>
      <c r="J1030" s="49"/>
      <c r="K1030" s="49"/>
      <c r="L1030" s="49"/>
      <c r="M1030" s="49"/>
      <c r="N1030" s="49"/>
      <c r="O1030" s="49"/>
      <c r="P1030" s="49"/>
      <c r="Q1030" s="49"/>
      <c r="R1030" s="49"/>
      <c r="S1030" s="49"/>
      <c r="T1030" s="49"/>
      <c r="U1030" s="49"/>
      <c r="V1030" s="49"/>
      <c r="W1030" s="49"/>
      <c r="X1030" s="49"/>
      <c r="Y1030" s="49"/>
      <c r="Z1030" s="49"/>
      <c r="AA1030" s="49"/>
    </row>
    <row r="1031">
      <c r="A1031" s="49"/>
      <c r="B1031" s="49"/>
      <c r="C1031" s="49"/>
      <c r="D1031" s="49"/>
      <c r="E1031" s="49"/>
      <c r="F1031" s="49"/>
      <c r="G1031" s="49"/>
      <c r="H1031" s="49"/>
      <c r="I1031" s="49"/>
      <c r="J1031" s="49"/>
      <c r="K1031" s="49"/>
      <c r="L1031" s="49"/>
      <c r="M1031" s="49"/>
      <c r="N1031" s="49"/>
      <c r="O1031" s="49"/>
      <c r="P1031" s="49"/>
      <c r="Q1031" s="49"/>
      <c r="R1031" s="49"/>
      <c r="S1031" s="49"/>
      <c r="T1031" s="49"/>
      <c r="U1031" s="49"/>
      <c r="V1031" s="49"/>
      <c r="W1031" s="49"/>
      <c r="X1031" s="49"/>
      <c r="Y1031" s="49"/>
      <c r="Z1031" s="49"/>
      <c r="AA1031" s="49"/>
    </row>
    <row r="1032">
      <c r="A1032" s="49"/>
      <c r="B1032" s="49"/>
      <c r="C1032" s="49"/>
      <c r="D1032" s="49"/>
      <c r="E1032" s="49"/>
      <c r="F1032" s="49"/>
      <c r="G1032" s="49"/>
      <c r="H1032" s="49"/>
      <c r="I1032" s="49"/>
      <c r="J1032" s="49"/>
      <c r="K1032" s="49"/>
      <c r="L1032" s="49"/>
      <c r="M1032" s="49"/>
      <c r="N1032" s="49"/>
      <c r="O1032" s="49"/>
      <c r="P1032" s="49"/>
      <c r="Q1032" s="49"/>
      <c r="R1032" s="49"/>
      <c r="S1032" s="49"/>
      <c r="T1032" s="49"/>
      <c r="U1032" s="49"/>
      <c r="V1032" s="49"/>
      <c r="W1032" s="49"/>
      <c r="X1032" s="49"/>
      <c r="Y1032" s="49"/>
      <c r="Z1032" s="49"/>
      <c r="AA1032" s="49"/>
    </row>
    <row r="1033">
      <c r="A1033" s="49"/>
      <c r="B1033" s="49"/>
      <c r="C1033" s="49"/>
      <c r="D1033" s="49"/>
      <c r="E1033" s="49"/>
      <c r="F1033" s="49"/>
      <c r="G1033" s="49"/>
      <c r="H1033" s="49"/>
      <c r="I1033" s="49"/>
      <c r="J1033" s="49"/>
      <c r="K1033" s="49"/>
      <c r="L1033" s="49"/>
      <c r="M1033" s="49"/>
      <c r="N1033" s="49"/>
      <c r="O1033" s="49"/>
      <c r="P1033" s="49"/>
      <c r="Q1033" s="49"/>
      <c r="R1033" s="49"/>
      <c r="S1033" s="49"/>
      <c r="T1033" s="49"/>
      <c r="U1033" s="49"/>
      <c r="V1033" s="49"/>
      <c r="W1033" s="49"/>
      <c r="X1033" s="49"/>
      <c r="Y1033" s="49"/>
      <c r="Z1033" s="49"/>
      <c r="AA1033" s="49"/>
    </row>
    <row r="1034">
      <c r="A1034" s="49"/>
      <c r="B1034" s="49"/>
      <c r="C1034" s="49"/>
      <c r="D1034" s="49"/>
      <c r="E1034" s="49"/>
      <c r="F1034" s="49"/>
      <c r="G1034" s="49"/>
      <c r="H1034" s="49"/>
      <c r="I1034" s="49"/>
      <c r="J1034" s="49"/>
      <c r="K1034" s="49"/>
      <c r="L1034" s="49"/>
      <c r="M1034" s="49"/>
      <c r="N1034" s="49"/>
      <c r="O1034" s="49"/>
      <c r="P1034" s="49"/>
      <c r="Q1034" s="49"/>
      <c r="R1034" s="49"/>
      <c r="S1034" s="49"/>
      <c r="T1034" s="49"/>
      <c r="U1034" s="49"/>
      <c r="V1034" s="49"/>
      <c r="W1034" s="49"/>
      <c r="X1034" s="49"/>
      <c r="Y1034" s="49"/>
      <c r="Z1034" s="49"/>
      <c r="AA1034" s="49"/>
    </row>
    <row r="1035">
      <c r="A1035" s="49"/>
      <c r="B1035" s="49"/>
      <c r="C1035" s="49"/>
      <c r="D1035" s="49"/>
      <c r="E1035" s="49"/>
      <c r="F1035" s="49"/>
      <c r="G1035" s="49"/>
      <c r="H1035" s="49"/>
      <c r="I1035" s="49"/>
      <c r="J1035" s="49"/>
      <c r="K1035" s="49"/>
      <c r="L1035" s="49"/>
      <c r="M1035" s="49"/>
      <c r="N1035" s="49"/>
      <c r="O1035" s="49"/>
      <c r="P1035" s="49"/>
      <c r="Q1035" s="49"/>
      <c r="R1035" s="49"/>
      <c r="S1035" s="49"/>
      <c r="T1035" s="49"/>
      <c r="U1035" s="49"/>
      <c r="V1035" s="49"/>
      <c r="W1035" s="49"/>
      <c r="X1035" s="49"/>
      <c r="Y1035" s="49"/>
      <c r="Z1035" s="49"/>
      <c r="AA1035" s="49"/>
    </row>
    <row r="1036">
      <c r="A1036" s="49"/>
      <c r="B1036" s="49"/>
      <c r="C1036" s="49"/>
      <c r="D1036" s="49"/>
      <c r="E1036" s="49"/>
      <c r="F1036" s="49"/>
      <c r="G1036" s="49"/>
      <c r="H1036" s="49"/>
      <c r="I1036" s="49"/>
      <c r="J1036" s="49"/>
      <c r="K1036" s="49"/>
      <c r="L1036" s="49"/>
      <c r="M1036" s="49"/>
      <c r="N1036" s="49"/>
      <c r="O1036" s="49"/>
      <c r="P1036" s="49"/>
      <c r="Q1036" s="49"/>
      <c r="R1036" s="49"/>
      <c r="S1036" s="49"/>
      <c r="T1036" s="49"/>
      <c r="U1036" s="49"/>
      <c r="V1036" s="49"/>
      <c r="W1036" s="49"/>
      <c r="X1036" s="49"/>
      <c r="Y1036" s="49"/>
      <c r="Z1036" s="49"/>
      <c r="AA1036" s="49"/>
    </row>
    <row r="1037">
      <c r="A1037" s="49"/>
      <c r="B1037" s="49"/>
      <c r="C1037" s="49"/>
      <c r="D1037" s="49"/>
      <c r="E1037" s="49"/>
      <c r="F1037" s="49"/>
      <c r="G1037" s="49"/>
      <c r="H1037" s="49"/>
      <c r="I1037" s="49"/>
      <c r="J1037" s="49"/>
      <c r="K1037" s="49"/>
      <c r="L1037" s="49"/>
      <c r="M1037" s="49"/>
      <c r="N1037" s="49"/>
      <c r="O1037" s="49"/>
      <c r="P1037" s="49"/>
      <c r="Q1037" s="49"/>
      <c r="R1037" s="49"/>
      <c r="S1037" s="49"/>
      <c r="T1037" s="49"/>
      <c r="U1037" s="49"/>
      <c r="V1037" s="49"/>
      <c r="W1037" s="49"/>
      <c r="X1037" s="49"/>
      <c r="Y1037" s="49"/>
      <c r="Z1037" s="49"/>
      <c r="AA1037" s="49"/>
    </row>
    <row r="1038">
      <c r="A1038" s="49"/>
      <c r="B1038" s="49"/>
      <c r="C1038" s="49"/>
      <c r="D1038" s="49"/>
      <c r="E1038" s="49"/>
      <c r="F1038" s="49"/>
      <c r="G1038" s="49"/>
      <c r="H1038" s="49"/>
      <c r="I1038" s="49"/>
      <c r="J1038" s="49"/>
      <c r="K1038" s="49"/>
      <c r="L1038" s="49"/>
      <c r="M1038" s="49"/>
      <c r="N1038" s="49"/>
      <c r="O1038" s="49"/>
      <c r="P1038" s="49"/>
      <c r="Q1038" s="49"/>
      <c r="R1038" s="49"/>
      <c r="S1038" s="49"/>
      <c r="T1038" s="49"/>
      <c r="U1038" s="49"/>
      <c r="V1038" s="49"/>
      <c r="W1038" s="49"/>
      <c r="X1038" s="49"/>
      <c r="Y1038" s="49"/>
      <c r="Z1038" s="49"/>
      <c r="AA1038" s="49"/>
    </row>
    <row r="1039">
      <c r="A1039" s="49"/>
      <c r="B1039" s="49"/>
      <c r="C1039" s="49"/>
      <c r="D1039" s="49"/>
      <c r="E1039" s="49"/>
      <c r="F1039" s="49"/>
      <c r="G1039" s="49"/>
      <c r="H1039" s="49"/>
      <c r="I1039" s="49"/>
      <c r="J1039" s="49"/>
      <c r="K1039" s="49"/>
      <c r="L1039" s="49"/>
      <c r="M1039" s="49"/>
      <c r="N1039" s="49"/>
      <c r="O1039" s="49"/>
      <c r="P1039" s="49"/>
      <c r="Q1039" s="49"/>
      <c r="R1039" s="49"/>
      <c r="S1039" s="49"/>
      <c r="T1039" s="49"/>
      <c r="U1039" s="49"/>
      <c r="V1039" s="49"/>
      <c r="W1039" s="49"/>
      <c r="X1039" s="49"/>
      <c r="Y1039" s="49"/>
      <c r="Z1039" s="49"/>
      <c r="AA1039" s="49"/>
    </row>
    <row r="1040">
      <c r="A1040" s="49"/>
      <c r="B1040" s="49"/>
      <c r="C1040" s="49"/>
      <c r="D1040" s="49"/>
      <c r="E1040" s="49"/>
      <c r="F1040" s="49"/>
      <c r="G1040" s="49"/>
      <c r="H1040" s="49"/>
      <c r="I1040" s="49"/>
      <c r="J1040" s="49"/>
      <c r="K1040" s="49"/>
      <c r="L1040" s="49"/>
      <c r="M1040" s="49"/>
      <c r="N1040" s="49"/>
      <c r="O1040" s="49"/>
      <c r="P1040" s="49"/>
      <c r="Q1040" s="49"/>
      <c r="R1040" s="49"/>
      <c r="S1040" s="49"/>
      <c r="T1040" s="49"/>
      <c r="U1040" s="49"/>
      <c r="V1040" s="49"/>
      <c r="W1040" s="49"/>
      <c r="X1040" s="49"/>
      <c r="Y1040" s="49"/>
      <c r="Z1040" s="49"/>
      <c r="AA1040" s="49"/>
    </row>
  </sheetData>
  <mergeCells count="4">
    <mergeCell ref="A4:D4"/>
    <mergeCell ref="K7:N7"/>
    <mergeCell ref="F20:I20"/>
    <mergeCell ref="M21:N2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0" width="9.13"/>
    <col customWidth="1" min="11" max="11" width="28.38"/>
  </cols>
  <sheetData>
    <row r="1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</row>
    <row r="2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</row>
    <row r="3">
      <c r="A3" s="49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</row>
    <row r="4">
      <c r="A4" s="50"/>
      <c r="E4" s="49"/>
      <c r="F4" s="51"/>
      <c r="G4" s="51"/>
      <c r="H4" s="51"/>
      <c r="I4" s="50"/>
      <c r="J4" s="50"/>
      <c r="K4" s="50"/>
      <c r="L4" s="50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</row>
    <row r="5">
      <c r="A5" s="50"/>
      <c r="B5" s="50"/>
      <c r="C5" s="50"/>
      <c r="D5" s="50"/>
      <c r="E5" s="49"/>
      <c r="F5" s="51"/>
      <c r="G5" s="51"/>
      <c r="H5" s="49"/>
      <c r="I5" s="50"/>
      <c r="J5" s="50"/>
      <c r="K5" s="50"/>
      <c r="L5" s="50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</row>
    <row r="6">
      <c r="A6" s="50"/>
      <c r="B6" s="50"/>
      <c r="C6" s="50"/>
      <c r="D6" s="50"/>
      <c r="E6" s="49"/>
      <c r="F6" s="22"/>
      <c r="G6" s="4"/>
      <c r="H6" s="49"/>
      <c r="I6" s="50"/>
      <c r="J6" s="50"/>
      <c r="K6" s="50"/>
      <c r="L6" s="50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</row>
    <row r="7">
      <c r="A7" s="50"/>
      <c r="B7" s="50"/>
      <c r="C7" s="50"/>
      <c r="D7" s="50"/>
      <c r="E7" s="49"/>
      <c r="F7" s="22"/>
      <c r="G7" s="4"/>
      <c r="H7" s="49"/>
      <c r="I7" s="50"/>
      <c r="J7" s="50"/>
      <c r="K7" s="52" t="s">
        <v>63</v>
      </c>
      <c r="L7" s="53"/>
      <c r="M7" s="53"/>
      <c r="N7" s="54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</row>
    <row r="8">
      <c r="A8" s="50"/>
      <c r="B8" s="50"/>
      <c r="C8" s="50"/>
      <c r="D8" s="50"/>
      <c r="E8" s="49"/>
      <c r="F8" s="22"/>
      <c r="G8" s="4"/>
      <c r="H8" s="49"/>
      <c r="I8" s="50"/>
      <c r="J8" s="22"/>
      <c r="K8" s="55" t="s">
        <v>65</v>
      </c>
      <c r="L8" s="55" t="s">
        <v>66</v>
      </c>
      <c r="M8" s="9" t="s">
        <v>67</v>
      </c>
      <c r="N8" s="9" t="s">
        <v>68</v>
      </c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</row>
    <row r="9">
      <c r="A9" s="50"/>
      <c r="B9" s="50"/>
      <c r="C9" s="50"/>
      <c r="D9" s="50"/>
      <c r="E9" s="49"/>
      <c r="F9" s="22"/>
      <c r="G9" s="56"/>
      <c r="H9" s="49"/>
      <c r="I9" s="50"/>
      <c r="J9" s="22"/>
      <c r="K9" s="122" t="s">
        <v>70</v>
      </c>
      <c r="L9" s="122">
        <v>2020.0</v>
      </c>
      <c r="M9" s="83"/>
      <c r="N9" s="83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</row>
    <row r="10">
      <c r="A10" s="22"/>
      <c r="B10" s="61"/>
      <c r="C10" s="50"/>
      <c r="D10" s="50"/>
      <c r="E10" s="49"/>
      <c r="F10" s="22"/>
      <c r="G10" s="4"/>
      <c r="H10" s="49"/>
      <c r="I10" s="50"/>
      <c r="J10" s="22"/>
      <c r="K10" s="122" t="s">
        <v>71</v>
      </c>
      <c r="L10" s="122">
        <v>3500.0</v>
      </c>
      <c r="M10" s="83"/>
      <c r="N10" s="83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  <c r="AA10" s="49"/>
    </row>
    <row r="11">
      <c r="A11" s="22"/>
      <c r="B11" s="61"/>
      <c r="C11" s="50"/>
      <c r="D11" s="62"/>
      <c r="E11" s="49"/>
      <c r="F11" s="62"/>
      <c r="G11" s="51"/>
      <c r="H11" s="49"/>
      <c r="I11" s="50"/>
      <c r="J11" s="50"/>
      <c r="K11" s="122" t="s">
        <v>72</v>
      </c>
      <c r="L11" s="122">
        <v>7649.0</v>
      </c>
      <c r="M11" s="83"/>
      <c r="N11" s="83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</row>
    <row r="12">
      <c r="A12" s="22"/>
      <c r="B12" s="61"/>
      <c r="C12" s="50"/>
      <c r="D12" s="50"/>
      <c r="E12" s="49"/>
      <c r="F12" s="49"/>
      <c r="G12" s="49"/>
      <c r="H12" s="49"/>
      <c r="I12" s="50"/>
      <c r="J12" s="50"/>
      <c r="K12" s="122" t="s">
        <v>73</v>
      </c>
      <c r="L12" s="162">
        <v>1785.0</v>
      </c>
      <c r="M12" s="122"/>
      <c r="N12" s="83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</row>
    <row r="13">
      <c r="A13" s="22"/>
      <c r="B13" s="61"/>
      <c r="C13" s="50"/>
      <c r="D13" s="62"/>
      <c r="E13" s="49"/>
      <c r="F13" s="49"/>
      <c r="G13" s="49"/>
      <c r="H13" s="49"/>
      <c r="I13" s="50"/>
      <c r="J13" s="50"/>
      <c r="K13" s="122" t="s">
        <v>74</v>
      </c>
      <c r="L13" s="122">
        <v>1051.0</v>
      </c>
      <c r="M13" s="83"/>
      <c r="N13" s="83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  <c r="AA13" s="49"/>
    </row>
    <row r="14">
      <c r="A14" s="22"/>
      <c r="B14" s="61"/>
      <c r="C14" s="62"/>
      <c r="D14" s="22"/>
      <c r="E14" s="49"/>
      <c r="F14" s="49"/>
      <c r="G14" s="49"/>
      <c r="H14" s="49"/>
      <c r="I14" s="50"/>
      <c r="J14" s="50"/>
      <c r="K14" s="122" t="s">
        <v>75</v>
      </c>
      <c r="L14" s="122">
        <v>3000.0</v>
      </c>
      <c r="M14" s="83"/>
      <c r="N14" s="83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</row>
    <row r="15">
      <c r="A15" s="22"/>
      <c r="B15" s="61"/>
      <c r="C15" s="62"/>
      <c r="D15" s="22"/>
      <c r="E15" s="49"/>
      <c r="F15" s="49"/>
      <c r="G15" s="49"/>
      <c r="H15" s="49"/>
      <c r="I15" s="50"/>
      <c r="J15" s="50"/>
      <c r="K15" s="122" t="s">
        <v>76</v>
      </c>
      <c r="L15" s="122">
        <v>3000.0</v>
      </c>
      <c r="M15" s="83"/>
      <c r="N15" s="162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</row>
    <row r="16">
      <c r="A16" s="22"/>
      <c r="B16" s="61"/>
      <c r="C16" s="62"/>
      <c r="D16" s="22"/>
      <c r="E16" s="49"/>
      <c r="F16" s="49"/>
      <c r="G16" s="49"/>
      <c r="H16" s="49"/>
      <c r="I16" s="50"/>
      <c r="J16" s="50"/>
      <c r="K16" s="123" t="s">
        <v>134</v>
      </c>
      <c r="L16" s="123">
        <v>2000.0</v>
      </c>
      <c r="M16" s="83"/>
      <c r="N16" s="83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/>
    </row>
    <row r="17">
      <c r="A17" s="22"/>
      <c r="B17" s="61"/>
      <c r="C17" s="62"/>
      <c r="D17" s="22"/>
      <c r="E17" s="49"/>
      <c r="F17" s="49"/>
      <c r="G17" s="49"/>
      <c r="H17" s="49"/>
      <c r="I17" s="50"/>
      <c r="J17" s="50"/>
      <c r="K17" s="122" t="s">
        <v>154</v>
      </c>
      <c r="L17" s="122">
        <v>3000.0</v>
      </c>
      <c r="M17" s="83"/>
      <c r="N17" s="83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</row>
    <row r="18">
      <c r="A18" s="22"/>
      <c r="B18" s="61"/>
      <c r="C18" s="62"/>
      <c r="D18" s="22"/>
      <c r="E18" s="49"/>
      <c r="F18" s="49"/>
      <c r="G18" s="49"/>
      <c r="H18" s="49"/>
      <c r="I18" s="50"/>
      <c r="J18" s="50"/>
      <c r="K18" s="9" t="s">
        <v>77</v>
      </c>
      <c r="L18" s="124">
        <v>3700.0</v>
      </c>
      <c r="M18" s="83"/>
      <c r="N18" s="83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</row>
    <row r="19">
      <c r="A19" s="22"/>
      <c r="B19" s="61"/>
      <c r="C19" s="62"/>
      <c r="D19" s="62"/>
      <c r="E19" s="49"/>
      <c r="F19" s="49"/>
      <c r="G19" s="49"/>
      <c r="H19" s="49"/>
      <c r="I19" s="49"/>
      <c r="J19" s="49"/>
      <c r="K19" s="9" t="s">
        <v>78</v>
      </c>
      <c r="L19" s="125">
        <v>7400.0</v>
      </c>
      <c r="M19" s="83"/>
      <c r="N19" s="83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</row>
    <row r="20">
      <c r="A20" s="68"/>
      <c r="B20" s="68"/>
      <c r="C20" s="68"/>
      <c r="D20" s="68"/>
      <c r="E20" s="49"/>
      <c r="F20" s="126" t="s">
        <v>136</v>
      </c>
      <c r="G20" s="53"/>
      <c r="H20" s="53"/>
      <c r="I20" s="54"/>
      <c r="J20" s="49"/>
      <c r="K20" s="9" t="s">
        <v>80</v>
      </c>
      <c r="L20" s="124">
        <v>3700.0</v>
      </c>
      <c r="M20" s="83"/>
      <c r="N20" s="83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</row>
    <row r="21">
      <c r="A21" s="68"/>
      <c r="B21" s="68"/>
      <c r="C21" s="68"/>
      <c r="D21" s="68"/>
      <c r="E21" s="49"/>
      <c r="F21" s="164"/>
      <c r="G21" s="132">
        <v>46054.0</v>
      </c>
      <c r="H21" s="123"/>
      <c r="I21" s="123"/>
      <c r="J21" s="49"/>
      <c r="K21" s="92" t="s">
        <v>82</v>
      </c>
      <c r="L21" s="124">
        <v>2200.0</v>
      </c>
      <c r="M21" s="128"/>
      <c r="N21" s="54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</row>
    <row r="22">
      <c r="A22" s="68"/>
      <c r="B22" s="68"/>
      <c r="C22" s="68"/>
      <c r="D22" s="68"/>
      <c r="E22" s="49"/>
      <c r="F22" s="156"/>
      <c r="G22" s="132"/>
      <c r="H22" s="123"/>
      <c r="I22" s="123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</row>
    <row r="23">
      <c r="A23" s="68"/>
      <c r="B23" s="68"/>
      <c r="C23" s="68"/>
      <c r="D23" s="68"/>
      <c r="E23" s="49"/>
      <c r="F23" s="156"/>
      <c r="G23" s="132"/>
      <c r="H23" s="123"/>
      <c r="I23" s="123"/>
      <c r="J23" s="49"/>
      <c r="K23" s="49"/>
      <c r="L23" s="49">
        <f>SUM(L9:L21)</f>
        <v>44005</v>
      </c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</row>
    <row r="24">
      <c r="A24" s="68"/>
      <c r="B24" s="68"/>
      <c r="C24" s="68"/>
      <c r="D24" s="68"/>
      <c r="E24" s="49"/>
      <c r="F24" s="156"/>
      <c r="G24" s="132"/>
      <c r="H24" s="123"/>
      <c r="I24" s="123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</row>
    <row r="25">
      <c r="A25" s="68"/>
      <c r="B25" s="68"/>
      <c r="C25" s="68"/>
      <c r="D25" s="68"/>
      <c r="E25" s="49"/>
      <c r="F25" s="156"/>
      <c r="G25" s="132"/>
      <c r="H25" s="123"/>
      <c r="I25" s="123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</row>
    <row r="26">
      <c r="A26" s="68"/>
      <c r="B26" s="68"/>
      <c r="C26" s="68"/>
      <c r="D26" s="68"/>
      <c r="E26" s="49"/>
      <c r="F26" s="156"/>
      <c r="G26" s="132"/>
      <c r="H26" s="123"/>
      <c r="I26" s="123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</row>
    <row r="27">
      <c r="A27" s="68"/>
      <c r="B27" s="68"/>
      <c r="C27" s="68"/>
      <c r="D27" s="68"/>
      <c r="E27" s="49"/>
      <c r="F27" s="123"/>
      <c r="G27" s="132"/>
      <c r="H27" s="123"/>
      <c r="I27" s="123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</row>
    <row r="28">
      <c r="A28" s="68"/>
      <c r="B28" s="68"/>
      <c r="C28" s="68"/>
      <c r="D28" s="68"/>
      <c r="E28" s="49"/>
      <c r="F28" s="123"/>
      <c r="G28" s="138"/>
      <c r="H28" s="123"/>
      <c r="I28" s="123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</row>
    <row r="29">
      <c r="A29" s="68"/>
      <c r="B29" s="68"/>
      <c r="C29" s="68"/>
      <c r="D29" s="68"/>
      <c r="E29" s="49"/>
      <c r="F29" s="139"/>
      <c r="G29" s="138"/>
      <c r="H29" s="123"/>
      <c r="I29" s="123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</row>
    <row r="30">
      <c r="A30" s="68"/>
      <c r="B30" s="68"/>
      <c r="C30" s="68"/>
      <c r="D30" s="68"/>
      <c r="E30" s="49"/>
      <c r="F30" s="139"/>
      <c r="G30" s="138"/>
      <c r="H30" s="83"/>
      <c r="I30" s="123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</row>
    <row r="31">
      <c r="A31" s="68"/>
      <c r="B31" s="68"/>
      <c r="C31" s="68"/>
      <c r="D31" s="68"/>
      <c r="E31" s="49"/>
      <c r="F31" s="139"/>
      <c r="G31" s="138"/>
      <c r="H31" s="83"/>
      <c r="I31" s="140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</row>
    <row r="32">
      <c r="A32" s="68"/>
      <c r="B32" s="68"/>
      <c r="C32" s="68"/>
      <c r="D32" s="68"/>
      <c r="E32" s="49"/>
      <c r="F32" s="83"/>
      <c r="G32" s="138"/>
      <c r="H32" s="83"/>
      <c r="I32" s="83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</row>
    <row r="33">
      <c r="A33" s="68"/>
      <c r="B33" s="68"/>
      <c r="C33" s="68"/>
      <c r="D33" s="68"/>
      <c r="E33" s="49"/>
      <c r="F33" s="9"/>
      <c r="G33" s="83"/>
      <c r="H33" s="83"/>
      <c r="I33" s="83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</row>
    <row r="34">
      <c r="A34" s="68"/>
      <c r="B34" s="68"/>
      <c r="C34" s="68"/>
      <c r="D34" s="68"/>
      <c r="E34" s="49"/>
      <c r="F34" s="9"/>
      <c r="G34" s="9"/>
      <c r="H34" s="9"/>
      <c r="I34" s="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</row>
    <row r="35">
      <c r="A35" s="68"/>
      <c r="B35" s="68"/>
      <c r="C35" s="68"/>
      <c r="D35" s="68"/>
      <c r="E35" s="49"/>
      <c r="F35" s="9"/>
      <c r="G35" s="9"/>
      <c r="H35" s="9"/>
      <c r="I35" s="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</row>
    <row r="36">
      <c r="A36" s="68"/>
      <c r="B36" s="68"/>
      <c r="C36" s="68"/>
      <c r="D36" s="68"/>
      <c r="E36" s="49"/>
      <c r="F36" s="9"/>
      <c r="G36" s="9"/>
      <c r="H36" s="9"/>
      <c r="I36" s="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</row>
    <row r="37">
      <c r="A37" s="68"/>
      <c r="B37" s="68"/>
      <c r="C37" s="68"/>
      <c r="D37" s="68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</row>
    <row r="38">
      <c r="A38" s="49"/>
      <c r="B38" s="49"/>
      <c r="C38" s="49"/>
      <c r="D38" s="49"/>
      <c r="E38" s="49"/>
      <c r="F38" s="49"/>
      <c r="G38" s="49"/>
      <c r="H38" s="49"/>
      <c r="I38" s="49">
        <f>SUM(I21:I31)</f>
        <v>0</v>
      </c>
      <c r="J38" s="49">
        <f>SUM(J6:J13)</f>
        <v>0</v>
      </c>
      <c r="K38" s="84">
        <v>48960.0</v>
      </c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</row>
    <row r="39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</row>
    <row r="40">
      <c r="A40" s="49"/>
      <c r="B40" s="49"/>
      <c r="C40" s="49"/>
      <c r="D40" s="49"/>
      <c r="E40" s="49"/>
      <c r="F40" s="85" t="s">
        <v>90</v>
      </c>
      <c r="G40" s="85" t="s">
        <v>91</v>
      </c>
      <c r="H40" s="85" t="s">
        <v>92</v>
      </c>
      <c r="I40" s="85" t="s">
        <v>93</v>
      </c>
      <c r="J40" s="85" t="s">
        <v>94</v>
      </c>
      <c r="K40" s="85" t="s">
        <v>95</v>
      </c>
      <c r="L40" s="85" t="s">
        <v>96</v>
      </c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</row>
    <row r="41">
      <c r="A41" s="49"/>
      <c r="B41" s="85" t="s">
        <v>97</v>
      </c>
      <c r="C41" s="49"/>
      <c r="D41" s="49"/>
      <c r="E41" s="49"/>
      <c r="F41" s="152">
        <v>46028.0</v>
      </c>
      <c r="G41" s="85" t="s">
        <v>98</v>
      </c>
      <c r="H41" s="85" t="s">
        <v>99</v>
      </c>
      <c r="I41" s="85">
        <v>2.0</v>
      </c>
      <c r="J41" s="115"/>
      <c r="K41" s="92"/>
      <c r="L41" s="131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</row>
    <row r="42">
      <c r="A42" s="49"/>
      <c r="B42" s="92" t="s">
        <v>100</v>
      </c>
      <c r="C42" s="49"/>
      <c r="D42" s="49"/>
      <c r="E42" s="49"/>
      <c r="F42" s="152">
        <v>46030.0</v>
      </c>
      <c r="G42" s="85" t="s">
        <v>98</v>
      </c>
      <c r="H42" s="85" t="s">
        <v>99</v>
      </c>
      <c r="I42" s="85">
        <v>2.0</v>
      </c>
      <c r="J42" s="124"/>
      <c r="K42" s="92"/>
      <c r="L42" s="131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</row>
    <row r="43">
      <c r="A43" s="49"/>
      <c r="B43" s="85" t="s">
        <v>101</v>
      </c>
      <c r="C43" s="49"/>
      <c r="D43" s="49"/>
      <c r="E43" s="49"/>
      <c r="F43" s="152">
        <v>46031.0</v>
      </c>
      <c r="G43" s="85" t="s">
        <v>98</v>
      </c>
      <c r="H43" s="85" t="s">
        <v>99</v>
      </c>
      <c r="I43" s="85">
        <v>2.0</v>
      </c>
      <c r="J43" s="124"/>
      <c r="K43" s="92"/>
      <c r="L43" s="131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</row>
    <row r="44">
      <c r="A44" s="49"/>
      <c r="B44" s="49"/>
      <c r="C44" s="49"/>
      <c r="D44" s="49"/>
      <c r="E44" s="49"/>
      <c r="F44" s="152">
        <v>46033.0</v>
      </c>
      <c r="G44" s="85" t="s">
        <v>98</v>
      </c>
      <c r="H44" s="85" t="s">
        <v>99</v>
      </c>
      <c r="I44" s="85">
        <v>2.0</v>
      </c>
      <c r="J44" s="131"/>
      <c r="K44" s="131"/>
      <c r="L44" s="131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</row>
    <row r="45">
      <c r="A45" s="49"/>
      <c r="B45" s="49"/>
      <c r="C45" s="49"/>
      <c r="D45" s="49"/>
      <c r="E45" s="49"/>
      <c r="F45" s="152">
        <v>46034.0</v>
      </c>
      <c r="G45" s="85" t="s">
        <v>98</v>
      </c>
      <c r="H45" s="85" t="s">
        <v>99</v>
      </c>
      <c r="I45" s="85">
        <v>2.0</v>
      </c>
      <c r="J45" s="131"/>
      <c r="K45" s="131"/>
      <c r="L45" s="131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</row>
    <row r="46">
      <c r="A46" s="49"/>
      <c r="B46" s="49"/>
      <c r="C46" s="49"/>
      <c r="D46" s="49"/>
      <c r="E46" s="49"/>
      <c r="F46" s="152">
        <v>46035.0</v>
      </c>
      <c r="G46" s="85" t="s">
        <v>98</v>
      </c>
      <c r="H46" s="85" t="s">
        <v>99</v>
      </c>
      <c r="I46" s="85">
        <v>2.0</v>
      </c>
      <c r="J46" s="131"/>
      <c r="K46" s="131"/>
      <c r="L46" s="131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</row>
    <row r="47">
      <c r="A47" s="49"/>
      <c r="B47" s="49"/>
      <c r="C47" s="49"/>
      <c r="D47" s="49"/>
      <c r="E47" s="49"/>
      <c r="F47" s="152">
        <v>46036.0</v>
      </c>
      <c r="G47" s="85" t="s">
        <v>98</v>
      </c>
      <c r="H47" s="85" t="s">
        <v>105</v>
      </c>
      <c r="I47" s="85">
        <v>2.0</v>
      </c>
      <c r="J47" s="131"/>
      <c r="K47" s="131"/>
      <c r="L47" s="131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</row>
    <row r="48">
      <c r="A48" s="49"/>
      <c r="B48" s="49"/>
      <c r="C48" s="49"/>
      <c r="D48" s="49"/>
      <c r="E48" s="49"/>
      <c r="F48" s="152">
        <v>46037.0</v>
      </c>
      <c r="G48" s="85" t="s">
        <v>98</v>
      </c>
      <c r="H48" s="85" t="s">
        <v>105</v>
      </c>
      <c r="I48" s="85">
        <v>2.0</v>
      </c>
      <c r="J48" s="131"/>
      <c r="K48" s="131"/>
      <c r="L48" s="131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</row>
    <row r="49">
      <c r="A49" s="49"/>
      <c r="B49" s="49"/>
      <c r="C49" s="49"/>
      <c r="D49" s="49"/>
      <c r="E49" s="49"/>
      <c r="F49" s="152">
        <v>46038.0</v>
      </c>
      <c r="G49" s="85" t="s">
        <v>98</v>
      </c>
      <c r="H49" s="85" t="s">
        <v>105</v>
      </c>
      <c r="I49" s="85">
        <v>2.0</v>
      </c>
      <c r="J49" s="131"/>
      <c r="K49" s="131"/>
      <c r="L49" s="131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</row>
    <row r="50">
      <c r="A50" s="49"/>
      <c r="B50" s="49"/>
      <c r="C50" s="49"/>
      <c r="D50" s="49"/>
      <c r="E50" s="49"/>
      <c r="F50" s="152">
        <v>46039.0</v>
      </c>
      <c r="G50" s="85" t="s">
        <v>98</v>
      </c>
      <c r="H50" s="85" t="s">
        <v>105</v>
      </c>
      <c r="I50" s="85">
        <v>2.0</v>
      </c>
      <c r="J50" s="131"/>
      <c r="K50" s="131"/>
      <c r="L50" s="131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</row>
    <row r="51">
      <c r="A51" s="49"/>
      <c r="B51" s="49"/>
      <c r="C51" s="49"/>
      <c r="D51" s="49"/>
      <c r="E51" s="49"/>
      <c r="F51" s="152">
        <v>46041.0</v>
      </c>
      <c r="G51" s="85" t="s">
        <v>98</v>
      </c>
      <c r="H51" s="85" t="s">
        <v>105</v>
      </c>
      <c r="I51" s="85">
        <v>2.0</v>
      </c>
      <c r="J51" s="131"/>
      <c r="K51" s="131"/>
      <c r="L51" s="131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</row>
    <row r="52">
      <c r="A52" s="49"/>
      <c r="B52" s="49"/>
      <c r="C52" s="49"/>
      <c r="D52" s="49"/>
      <c r="E52" s="49"/>
      <c r="F52" s="152">
        <v>46042.0</v>
      </c>
      <c r="G52" s="85" t="s">
        <v>98</v>
      </c>
      <c r="H52" s="85" t="s">
        <v>105</v>
      </c>
      <c r="I52" s="85">
        <v>2.0</v>
      </c>
      <c r="J52" s="131"/>
      <c r="K52" s="131"/>
      <c r="L52" s="131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</row>
    <row r="53">
      <c r="A53" s="49"/>
      <c r="B53" s="49"/>
      <c r="C53" s="49"/>
      <c r="D53" s="49"/>
      <c r="E53" s="49"/>
      <c r="F53" s="152">
        <v>46043.0</v>
      </c>
      <c r="G53" s="85" t="s">
        <v>98</v>
      </c>
      <c r="H53" s="85" t="s">
        <v>105</v>
      </c>
      <c r="I53" s="85">
        <v>2.0</v>
      </c>
      <c r="J53" s="131"/>
      <c r="K53" s="131"/>
      <c r="L53" s="131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</row>
    <row r="54">
      <c r="A54" s="49"/>
      <c r="B54" s="49"/>
      <c r="C54" s="49"/>
      <c r="D54" s="49"/>
      <c r="E54" s="49"/>
      <c r="F54" s="152">
        <v>46044.0</v>
      </c>
      <c r="G54" s="85" t="s">
        <v>98</v>
      </c>
      <c r="H54" s="85" t="s">
        <v>97</v>
      </c>
      <c r="I54" s="85">
        <v>2.0</v>
      </c>
      <c r="J54" s="131"/>
      <c r="K54" s="131"/>
      <c r="L54" s="131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</row>
    <row r="55">
      <c r="A55" s="49"/>
      <c r="B55" s="49"/>
      <c r="C55" s="49"/>
      <c r="D55" s="49"/>
      <c r="E55" s="49"/>
      <c r="F55" s="152">
        <v>46044.0</v>
      </c>
      <c r="G55" s="85" t="s">
        <v>98</v>
      </c>
      <c r="H55" s="85" t="s">
        <v>105</v>
      </c>
      <c r="I55" s="85">
        <v>2.0</v>
      </c>
      <c r="J55" s="131"/>
      <c r="K55" s="131"/>
      <c r="L55" s="131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</row>
    <row r="56">
      <c r="A56" s="49"/>
      <c r="B56" s="49"/>
      <c r="C56" s="49"/>
      <c r="D56" s="49"/>
      <c r="E56" s="49"/>
      <c r="F56" s="152">
        <v>46045.0</v>
      </c>
      <c r="G56" s="85" t="s">
        <v>98</v>
      </c>
      <c r="H56" s="85" t="s">
        <v>97</v>
      </c>
      <c r="I56" s="85">
        <v>2.0</v>
      </c>
      <c r="J56" s="131"/>
      <c r="K56" s="131"/>
      <c r="L56" s="131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</row>
    <row r="57">
      <c r="A57" s="49"/>
      <c r="B57" s="49"/>
      <c r="C57" s="49"/>
      <c r="D57" s="49"/>
      <c r="E57" s="49"/>
      <c r="F57" s="152">
        <v>46045.0</v>
      </c>
      <c r="G57" s="85" t="s">
        <v>98</v>
      </c>
      <c r="H57" s="85" t="s">
        <v>105</v>
      </c>
      <c r="I57" s="85">
        <v>2.0</v>
      </c>
      <c r="J57" s="131"/>
      <c r="K57" s="131"/>
      <c r="L57" s="131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</row>
    <row r="58">
      <c r="A58" s="49"/>
      <c r="B58" s="49"/>
      <c r="C58" s="49"/>
      <c r="D58" s="49"/>
      <c r="E58" s="49"/>
      <c r="F58" s="152">
        <v>46048.0</v>
      </c>
      <c r="G58" s="85" t="s">
        <v>98</v>
      </c>
      <c r="H58" s="85" t="s">
        <v>105</v>
      </c>
      <c r="I58" s="85">
        <v>2.0</v>
      </c>
      <c r="J58" s="131"/>
      <c r="K58" s="131"/>
      <c r="L58" s="131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</row>
    <row r="59">
      <c r="A59" s="49"/>
      <c r="B59" s="49"/>
      <c r="C59" s="49"/>
      <c r="D59" s="49"/>
      <c r="E59" s="49"/>
      <c r="F59" s="152">
        <v>46048.0</v>
      </c>
      <c r="G59" s="85" t="s">
        <v>98</v>
      </c>
      <c r="H59" s="85" t="s">
        <v>106</v>
      </c>
      <c r="I59" s="85">
        <v>2.0</v>
      </c>
      <c r="J59" s="131"/>
      <c r="K59" s="131"/>
      <c r="L59" s="131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</row>
    <row r="60">
      <c r="A60" s="49"/>
      <c r="B60" s="49"/>
      <c r="C60" s="49"/>
      <c r="D60" s="49"/>
      <c r="E60" s="49"/>
      <c r="F60" s="152">
        <v>46049.0</v>
      </c>
      <c r="G60" s="85" t="s">
        <v>98</v>
      </c>
      <c r="H60" s="85" t="s">
        <v>105</v>
      </c>
      <c r="I60" s="85">
        <v>2.0</v>
      </c>
      <c r="J60" s="131"/>
      <c r="K60" s="131"/>
      <c r="L60" s="131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</row>
    <row r="61">
      <c r="A61" s="49"/>
      <c r="B61" s="49"/>
      <c r="C61" s="49"/>
      <c r="D61" s="49"/>
      <c r="E61" s="49"/>
      <c r="F61" s="152">
        <v>46050.0</v>
      </c>
      <c r="G61" s="85" t="s">
        <v>98</v>
      </c>
      <c r="H61" s="85" t="s">
        <v>97</v>
      </c>
      <c r="I61" s="85">
        <v>2.0</v>
      </c>
      <c r="J61" s="131"/>
      <c r="K61" s="131"/>
      <c r="L61" s="131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</row>
    <row r="62">
      <c r="A62" s="49"/>
      <c r="B62" s="49"/>
      <c r="C62" s="49"/>
      <c r="D62" s="49"/>
      <c r="E62" s="49"/>
      <c r="F62" s="152">
        <v>46050.0</v>
      </c>
      <c r="G62" s="85" t="s">
        <v>98</v>
      </c>
      <c r="H62" s="85" t="s">
        <v>105</v>
      </c>
      <c r="I62" s="85">
        <v>2.0</v>
      </c>
      <c r="J62" s="131"/>
      <c r="K62" s="131"/>
      <c r="L62" s="131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</row>
    <row r="63">
      <c r="A63" s="49"/>
      <c r="B63" s="49"/>
      <c r="C63" s="49"/>
      <c r="D63" s="49"/>
      <c r="E63" s="49"/>
      <c r="F63" s="152">
        <v>46051.0</v>
      </c>
      <c r="G63" s="85" t="s">
        <v>98</v>
      </c>
      <c r="H63" s="85" t="s">
        <v>97</v>
      </c>
      <c r="I63" s="85">
        <v>2.0</v>
      </c>
      <c r="J63" s="131"/>
      <c r="K63" s="131"/>
      <c r="L63" s="131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</row>
    <row r="64">
      <c r="A64" s="49"/>
      <c r="B64" s="49"/>
      <c r="C64" s="49"/>
      <c r="D64" s="49"/>
      <c r="E64" s="49"/>
      <c r="F64" s="152">
        <v>46051.0</v>
      </c>
      <c r="G64" s="85" t="s">
        <v>98</v>
      </c>
      <c r="H64" s="85" t="s">
        <v>105</v>
      </c>
      <c r="I64" s="85">
        <v>2.0</v>
      </c>
      <c r="J64" s="131"/>
      <c r="K64" s="131"/>
      <c r="L64" s="131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</row>
    <row r="65">
      <c r="A65" s="49"/>
      <c r="B65" s="49"/>
      <c r="C65" s="49"/>
      <c r="D65" s="49"/>
      <c r="E65" s="49"/>
      <c r="F65" s="152">
        <v>46052.0</v>
      </c>
      <c r="G65" s="85" t="s">
        <v>98</v>
      </c>
      <c r="H65" s="85" t="s">
        <v>97</v>
      </c>
      <c r="I65" s="85">
        <v>2.0</v>
      </c>
      <c r="J65" s="131"/>
      <c r="K65" s="131"/>
      <c r="L65" s="131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</row>
    <row r="66">
      <c r="A66" s="49"/>
      <c r="B66" s="49"/>
      <c r="C66" s="49"/>
      <c r="D66" s="49"/>
      <c r="E66" s="49"/>
      <c r="F66" s="152">
        <v>46052.0</v>
      </c>
      <c r="G66" s="85" t="s">
        <v>98</v>
      </c>
      <c r="H66" s="85" t="s">
        <v>105</v>
      </c>
      <c r="I66" s="85">
        <v>2.0</v>
      </c>
      <c r="J66" s="131"/>
      <c r="K66" s="131"/>
      <c r="L66" s="131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</row>
    <row r="67">
      <c r="A67" s="49"/>
      <c r="B67" s="49"/>
      <c r="C67" s="49"/>
      <c r="D67" s="49"/>
      <c r="E67" s="49"/>
      <c r="F67" s="152">
        <v>46053.0</v>
      </c>
      <c r="G67" s="85" t="s">
        <v>98</v>
      </c>
      <c r="H67" s="85" t="s">
        <v>97</v>
      </c>
      <c r="I67" s="85">
        <v>2.0</v>
      </c>
      <c r="J67" s="131"/>
      <c r="K67" s="131"/>
      <c r="L67" s="131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</row>
    <row r="68">
      <c r="A68" s="49"/>
      <c r="B68" s="49"/>
      <c r="C68" s="49"/>
      <c r="D68" s="49"/>
      <c r="E68" s="49"/>
      <c r="F68" s="152">
        <v>46053.0</v>
      </c>
      <c r="G68" s="85" t="s">
        <v>98</v>
      </c>
      <c r="H68" s="85" t="s">
        <v>105</v>
      </c>
      <c r="I68" s="85">
        <v>2.0</v>
      </c>
      <c r="J68" s="131"/>
      <c r="K68" s="131"/>
      <c r="L68" s="131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</row>
    <row r="69">
      <c r="A69" s="49"/>
      <c r="B69" s="49"/>
      <c r="C69" s="49"/>
      <c r="D69" s="4"/>
      <c r="E69" s="101"/>
      <c r="F69" s="49"/>
      <c r="G69" s="49"/>
      <c r="H69" s="49"/>
      <c r="I69" s="101"/>
      <c r="J69" s="49"/>
      <c r="K69" s="101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</row>
    <row r="70">
      <c r="A70" s="49"/>
      <c r="B70" s="49"/>
      <c r="C70" s="49"/>
      <c r="D70" s="4"/>
      <c r="E70" s="101"/>
      <c r="F70" s="49"/>
      <c r="G70" s="49"/>
      <c r="H70" s="49"/>
      <c r="I70" s="101"/>
      <c r="J70" s="49"/>
      <c r="K70" s="101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</row>
    <row r="71">
      <c r="A71" s="49"/>
      <c r="B71" s="49"/>
      <c r="C71" s="49"/>
      <c r="D71" s="4"/>
      <c r="E71" s="101"/>
      <c r="F71" s="85" t="s">
        <v>90</v>
      </c>
      <c r="G71" s="85" t="s">
        <v>91</v>
      </c>
      <c r="H71" s="85" t="s">
        <v>92</v>
      </c>
      <c r="I71" s="85" t="s">
        <v>93</v>
      </c>
      <c r="J71" s="85" t="s">
        <v>94</v>
      </c>
      <c r="K71" s="85" t="s">
        <v>95</v>
      </c>
      <c r="L71" s="85" t="s">
        <v>96</v>
      </c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</row>
    <row r="72">
      <c r="A72" s="49"/>
      <c r="B72" s="49"/>
      <c r="C72" s="49"/>
      <c r="D72" s="4"/>
      <c r="E72" s="101"/>
      <c r="F72" s="152">
        <v>46028.0</v>
      </c>
      <c r="G72" s="156" t="s">
        <v>110</v>
      </c>
      <c r="H72" s="85" t="s">
        <v>101</v>
      </c>
      <c r="I72" s="85">
        <v>1.5</v>
      </c>
      <c r="J72" s="92"/>
      <c r="K72" s="92"/>
      <c r="L72" s="131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</row>
    <row r="73">
      <c r="A73" s="49"/>
      <c r="B73" s="49"/>
      <c r="C73" s="49"/>
      <c r="D73" s="4"/>
      <c r="E73" s="101"/>
      <c r="F73" s="152">
        <v>46029.0</v>
      </c>
      <c r="G73" s="156" t="s">
        <v>110</v>
      </c>
      <c r="H73" s="85" t="s">
        <v>101</v>
      </c>
      <c r="I73" s="85">
        <v>2.5</v>
      </c>
      <c r="J73" s="124"/>
      <c r="K73" s="92"/>
      <c r="L73" s="131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</row>
    <row r="74">
      <c r="A74" s="49"/>
      <c r="B74" s="49"/>
      <c r="C74" s="49"/>
      <c r="D74" s="4"/>
      <c r="E74" s="101"/>
      <c r="F74" s="152">
        <v>46029.0</v>
      </c>
      <c r="G74" s="156" t="s">
        <v>110</v>
      </c>
      <c r="H74" s="92" t="s">
        <v>100</v>
      </c>
      <c r="I74" s="85">
        <v>2.0</v>
      </c>
      <c r="J74" s="124"/>
      <c r="K74" s="92"/>
      <c r="L74" s="131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</row>
    <row r="75">
      <c r="A75" s="49"/>
      <c r="B75" s="49"/>
      <c r="C75" s="49"/>
      <c r="D75" s="4"/>
      <c r="E75" s="101"/>
      <c r="F75" s="152">
        <v>46030.0</v>
      </c>
      <c r="G75" s="156" t="s">
        <v>110</v>
      </c>
      <c r="H75" s="85" t="s">
        <v>101</v>
      </c>
      <c r="I75" s="85">
        <v>2.0</v>
      </c>
      <c r="J75" s="131"/>
      <c r="K75" s="131"/>
      <c r="L75" s="131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</row>
    <row r="76">
      <c r="A76" s="49"/>
      <c r="B76" s="49"/>
      <c r="C76" s="49"/>
      <c r="D76" s="4"/>
      <c r="E76" s="101"/>
      <c r="F76" s="152">
        <v>46031.0</v>
      </c>
      <c r="G76" s="156" t="s">
        <v>110</v>
      </c>
      <c r="H76" s="85" t="s">
        <v>101</v>
      </c>
      <c r="I76" s="85">
        <v>2.0</v>
      </c>
      <c r="J76" s="131"/>
      <c r="K76" s="131"/>
      <c r="L76" s="131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</row>
    <row r="77">
      <c r="A77" s="49"/>
      <c r="B77" s="49"/>
      <c r="C77" s="49"/>
      <c r="D77" s="4"/>
      <c r="E77" s="101"/>
      <c r="F77" s="152">
        <v>46035.0</v>
      </c>
      <c r="G77" s="156" t="s">
        <v>110</v>
      </c>
      <c r="H77" s="92" t="s">
        <v>100</v>
      </c>
      <c r="I77" s="85">
        <v>2.0</v>
      </c>
      <c r="J77" s="131"/>
      <c r="K77" s="131"/>
      <c r="L77" s="131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</row>
    <row r="78">
      <c r="A78" s="49"/>
      <c r="B78" s="49"/>
      <c r="C78" s="49"/>
      <c r="D78" s="4"/>
      <c r="E78" s="101"/>
      <c r="F78" s="152">
        <v>46036.0</v>
      </c>
      <c r="G78" s="156" t="s">
        <v>110</v>
      </c>
      <c r="H78" s="92" t="s">
        <v>100</v>
      </c>
      <c r="I78" s="85">
        <v>2.0</v>
      </c>
      <c r="J78" s="131"/>
      <c r="K78" s="131"/>
      <c r="L78" s="131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  <c r="AA78" s="49"/>
    </row>
    <row r="79">
      <c r="A79" s="49"/>
      <c r="B79" s="49"/>
      <c r="C79" s="49"/>
      <c r="D79" s="4"/>
      <c r="E79" s="101"/>
      <c r="F79" s="152">
        <v>46037.0</v>
      </c>
      <c r="G79" s="156" t="s">
        <v>110</v>
      </c>
      <c r="H79" s="85" t="s">
        <v>101</v>
      </c>
      <c r="I79" s="85">
        <v>2.0</v>
      </c>
      <c r="J79" s="131"/>
      <c r="K79" s="131"/>
      <c r="L79" s="131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</row>
    <row r="80">
      <c r="A80" s="49"/>
      <c r="B80" s="49"/>
      <c r="C80" s="49"/>
      <c r="D80" s="4"/>
      <c r="E80" s="101"/>
      <c r="F80" s="152">
        <v>46038.0</v>
      </c>
      <c r="G80" s="156" t="s">
        <v>110</v>
      </c>
      <c r="H80" s="85" t="s">
        <v>101</v>
      </c>
      <c r="I80" s="85">
        <v>2.0</v>
      </c>
      <c r="J80" s="131"/>
      <c r="K80" s="131"/>
      <c r="L80" s="131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  <c r="AA80" s="49"/>
    </row>
    <row r="81">
      <c r="A81" s="49"/>
      <c r="B81" s="49"/>
      <c r="C81" s="49"/>
      <c r="D81" s="4"/>
      <c r="E81" s="101"/>
      <c r="F81" s="152">
        <v>46041.0</v>
      </c>
      <c r="G81" s="156" t="s">
        <v>110</v>
      </c>
      <c r="H81" s="85" t="s">
        <v>101</v>
      </c>
      <c r="I81" s="85">
        <v>2.0</v>
      </c>
      <c r="J81" s="131"/>
      <c r="K81" s="131"/>
      <c r="L81" s="131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</row>
    <row r="82">
      <c r="A82" s="49"/>
      <c r="B82" s="49"/>
      <c r="C82" s="49"/>
      <c r="D82" s="4"/>
      <c r="E82" s="101"/>
      <c r="F82" s="152">
        <v>46041.0</v>
      </c>
      <c r="G82" s="156" t="s">
        <v>110</v>
      </c>
      <c r="H82" s="92" t="s">
        <v>100</v>
      </c>
      <c r="I82" s="85">
        <v>2.0</v>
      </c>
      <c r="J82" s="131"/>
      <c r="K82" s="131"/>
      <c r="L82" s="131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</row>
    <row r="83">
      <c r="A83" s="49"/>
      <c r="B83" s="49"/>
      <c r="C83" s="49"/>
      <c r="D83" s="4"/>
      <c r="E83" s="101"/>
      <c r="F83" s="152">
        <v>46042.0</v>
      </c>
      <c r="G83" s="156" t="s">
        <v>110</v>
      </c>
      <c r="H83" s="85" t="s">
        <v>101</v>
      </c>
      <c r="I83" s="85">
        <v>2.0</v>
      </c>
      <c r="J83" s="131"/>
      <c r="K83" s="131"/>
      <c r="L83" s="131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</row>
    <row r="84">
      <c r="A84" s="49"/>
      <c r="B84" s="49"/>
      <c r="C84" s="49"/>
      <c r="D84" s="4"/>
      <c r="E84" s="101"/>
      <c r="F84" s="152">
        <v>46042.0</v>
      </c>
      <c r="G84" s="156" t="s">
        <v>110</v>
      </c>
      <c r="H84" s="92" t="s">
        <v>100</v>
      </c>
      <c r="I84" s="85">
        <v>2.0</v>
      </c>
      <c r="J84" s="131"/>
      <c r="K84" s="131"/>
      <c r="L84" s="131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  <c r="AA84" s="49"/>
    </row>
    <row r="85">
      <c r="A85" s="49"/>
      <c r="B85" s="49"/>
      <c r="C85" s="49"/>
      <c r="D85" s="4"/>
      <c r="E85" s="101"/>
      <c r="F85" s="152">
        <v>46043.0</v>
      </c>
      <c r="G85" s="156" t="s">
        <v>110</v>
      </c>
      <c r="H85" s="85" t="s">
        <v>101</v>
      </c>
      <c r="I85" s="85">
        <v>2.0</v>
      </c>
      <c r="J85" s="131"/>
      <c r="K85" s="131"/>
      <c r="L85" s="131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  <c r="AA85" s="49"/>
    </row>
    <row r="86">
      <c r="A86" s="49"/>
      <c r="B86" s="49"/>
      <c r="C86" s="49"/>
      <c r="D86" s="4"/>
      <c r="E86" s="101"/>
      <c r="F86" s="152">
        <v>46043.0</v>
      </c>
      <c r="G86" s="156" t="s">
        <v>110</v>
      </c>
      <c r="H86" s="92" t="s">
        <v>100</v>
      </c>
      <c r="I86" s="85">
        <v>2.0</v>
      </c>
      <c r="J86" s="131"/>
      <c r="K86" s="131"/>
      <c r="L86" s="131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</row>
    <row r="87">
      <c r="A87" s="49"/>
      <c r="B87" s="49"/>
      <c r="C87" s="49"/>
      <c r="D87" s="4"/>
      <c r="E87" s="101"/>
      <c r="F87" s="152">
        <v>46044.0</v>
      </c>
      <c r="G87" s="156" t="s">
        <v>110</v>
      </c>
      <c r="H87" s="85" t="s">
        <v>101</v>
      </c>
      <c r="I87" s="85">
        <v>2.0</v>
      </c>
      <c r="J87" s="131"/>
      <c r="K87" s="131"/>
      <c r="L87" s="131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</row>
    <row r="88">
      <c r="A88" s="49"/>
      <c r="B88" s="49"/>
      <c r="C88" s="49"/>
      <c r="D88" s="4"/>
      <c r="E88" s="101"/>
      <c r="F88" s="152">
        <v>46048.0</v>
      </c>
      <c r="G88" s="156" t="s">
        <v>110</v>
      </c>
      <c r="H88" s="85" t="s">
        <v>101</v>
      </c>
      <c r="I88" s="85">
        <v>2.0</v>
      </c>
      <c r="J88" s="131"/>
      <c r="K88" s="131"/>
      <c r="L88" s="131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</row>
    <row r="89">
      <c r="A89" s="49"/>
      <c r="B89" s="49"/>
      <c r="C89" s="49"/>
      <c r="D89" s="4"/>
      <c r="E89" s="101"/>
      <c r="F89" s="152">
        <v>46049.0</v>
      </c>
      <c r="G89" s="156" t="s">
        <v>110</v>
      </c>
      <c r="H89" s="85" t="s">
        <v>101</v>
      </c>
      <c r="I89" s="85">
        <v>2.0</v>
      </c>
      <c r="J89" s="131"/>
      <c r="K89" s="131"/>
      <c r="L89" s="131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</row>
    <row r="90">
      <c r="A90" s="49"/>
      <c r="B90" s="49"/>
      <c r="C90" s="49"/>
      <c r="D90" s="4"/>
      <c r="E90" s="101"/>
      <c r="F90" s="152">
        <v>46050.0</v>
      </c>
      <c r="G90" s="156" t="s">
        <v>110</v>
      </c>
      <c r="H90" s="85" t="s">
        <v>101</v>
      </c>
      <c r="I90" s="85">
        <v>2.0</v>
      </c>
      <c r="J90" s="131"/>
      <c r="K90" s="131"/>
      <c r="L90" s="131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  <c r="AA90" s="49"/>
    </row>
    <row r="91">
      <c r="A91" s="49"/>
      <c r="B91" s="49"/>
      <c r="C91" s="49"/>
      <c r="D91" s="4"/>
      <c r="E91" s="101"/>
      <c r="F91" s="152">
        <v>46051.0</v>
      </c>
      <c r="G91" s="156" t="s">
        <v>110</v>
      </c>
      <c r="H91" s="85" t="s">
        <v>101</v>
      </c>
      <c r="I91" s="85">
        <v>2.0</v>
      </c>
      <c r="J91" s="131"/>
      <c r="K91" s="131"/>
      <c r="L91" s="131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  <c r="AA91" s="49"/>
    </row>
    <row r="92">
      <c r="A92" s="49"/>
      <c r="B92" s="49"/>
      <c r="C92" s="49"/>
      <c r="D92" s="4"/>
      <c r="E92" s="101"/>
      <c r="F92" s="152">
        <v>46052.0</v>
      </c>
      <c r="G92" s="156" t="s">
        <v>110</v>
      </c>
      <c r="H92" s="85" t="s">
        <v>101</v>
      </c>
      <c r="I92" s="85">
        <v>2.0</v>
      </c>
      <c r="J92" s="131"/>
      <c r="K92" s="131"/>
      <c r="L92" s="131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</row>
    <row r="93">
      <c r="A93" s="49"/>
      <c r="B93" s="49"/>
      <c r="C93" s="49"/>
      <c r="D93" s="4"/>
      <c r="E93" s="101"/>
      <c r="F93" s="49"/>
      <c r="G93" s="49"/>
      <c r="H93" s="49"/>
      <c r="I93" s="101"/>
      <c r="J93" s="49"/>
      <c r="K93" s="101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</row>
    <row r="94">
      <c r="A94" s="49"/>
      <c r="B94" s="49"/>
      <c r="C94" s="49"/>
      <c r="D94" s="4"/>
      <c r="E94" s="101"/>
      <c r="F94" s="49"/>
      <c r="G94" s="49"/>
      <c r="H94" s="49"/>
      <c r="I94" s="101">
        <f t="shared" ref="I94:K94" si="1">SUM(I41:I92)</f>
        <v>98</v>
      </c>
      <c r="J94" s="107">
        <f t="shared" si="1"/>
        <v>0</v>
      </c>
      <c r="K94" s="101">
        <f t="shared" si="1"/>
        <v>0</v>
      </c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  <c r="AA94" s="49"/>
    </row>
    <row r="95">
      <c r="A95" s="49"/>
      <c r="B95" s="49"/>
      <c r="C95" s="49"/>
      <c r="D95" s="4"/>
      <c r="E95" s="101"/>
      <c r="F95" s="49"/>
      <c r="G95" s="49"/>
      <c r="H95" s="49"/>
      <c r="I95" s="101"/>
      <c r="J95" s="49"/>
      <c r="K95" s="101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</row>
    <row r="96">
      <c r="A96" s="49"/>
      <c r="B96" s="49"/>
      <c r="C96" s="49"/>
      <c r="D96" s="4"/>
      <c r="E96" s="101"/>
      <c r="F96" s="49"/>
      <c r="G96" s="49"/>
      <c r="H96" s="49"/>
      <c r="I96" s="101"/>
      <c r="J96" s="49"/>
      <c r="K96" s="101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  <c r="AA96" s="49"/>
    </row>
    <row r="97">
      <c r="A97" s="49"/>
      <c r="B97" s="49"/>
      <c r="C97" s="49"/>
      <c r="D97" s="4"/>
      <c r="E97" s="101"/>
      <c r="F97" s="49"/>
      <c r="G97" s="49"/>
      <c r="H97" s="49"/>
      <c r="I97" s="101"/>
      <c r="J97" s="49"/>
      <c r="K97" s="101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  <c r="AA97" s="49"/>
    </row>
    <row r="98">
      <c r="A98" s="49"/>
      <c r="B98" s="49"/>
      <c r="C98" s="49"/>
      <c r="D98" s="4"/>
      <c r="E98" s="101"/>
      <c r="F98" s="49"/>
      <c r="G98" s="49"/>
      <c r="H98" s="49"/>
      <c r="I98" s="101"/>
      <c r="J98" s="49"/>
      <c r="K98" s="101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  <c r="AA98" s="49"/>
    </row>
    <row r="99">
      <c r="A99" s="49"/>
      <c r="B99" s="49"/>
      <c r="C99" s="49"/>
      <c r="D99" s="4"/>
      <c r="E99" s="101"/>
      <c r="F99" s="49"/>
      <c r="G99" s="49"/>
      <c r="H99" s="49"/>
      <c r="I99" s="101"/>
      <c r="J99" s="49"/>
      <c r="K99" s="101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  <c r="AA99" s="49"/>
    </row>
    <row r="100">
      <c r="A100" s="49"/>
      <c r="B100" s="49"/>
      <c r="C100" s="49"/>
      <c r="D100" s="4"/>
      <c r="E100" s="101"/>
      <c r="F100" s="49"/>
      <c r="G100" s="49"/>
      <c r="H100" s="49"/>
      <c r="I100" s="101"/>
      <c r="J100" s="49"/>
      <c r="K100" s="101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</row>
    <row r="101">
      <c r="A101" s="49"/>
      <c r="B101" s="49"/>
      <c r="C101" s="49"/>
      <c r="D101" s="4"/>
      <c r="E101" s="101"/>
      <c r="F101" s="49"/>
      <c r="G101" s="49"/>
      <c r="H101" s="49"/>
      <c r="I101" s="101"/>
      <c r="J101" s="49"/>
      <c r="K101" s="101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  <c r="AA101" s="49"/>
    </row>
    <row r="102">
      <c r="A102" s="49"/>
      <c r="B102" s="49"/>
      <c r="C102" s="49"/>
      <c r="D102" s="4"/>
      <c r="E102" s="101"/>
      <c r="F102" s="49"/>
      <c r="G102" s="49"/>
      <c r="H102" s="49"/>
      <c r="I102" s="101"/>
      <c r="J102" s="49"/>
      <c r="K102" s="101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</row>
    <row r="103">
      <c r="A103" s="49"/>
      <c r="B103" s="49"/>
      <c r="C103" s="49"/>
      <c r="D103" s="4"/>
      <c r="E103" s="101"/>
      <c r="F103" s="49"/>
      <c r="G103" s="49"/>
      <c r="H103" s="49"/>
      <c r="I103" s="101"/>
      <c r="J103" s="49"/>
      <c r="K103" s="101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  <c r="AA103" s="49"/>
    </row>
    <row r="104">
      <c r="A104" s="49"/>
      <c r="B104" s="49"/>
      <c r="C104" s="49"/>
      <c r="D104" s="4"/>
      <c r="E104" s="101"/>
      <c r="F104" s="49"/>
      <c r="G104" s="49"/>
      <c r="H104" s="49"/>
      <c r="I104" s="101"/>
      <c r="J104" s="49"/>
      <c r="K104" s="101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  <c r="AA104" s="49"/>
    </row>
    <row r="105">
      <c r="A105" s="49"/>
      <c r="B105" s="49"/>
      <c r="C105" s="49"/>
      <c r="D105" s="4"/>
      <c r="E105" s="101"/>
      <c r="F105" s="49"/>
      <c r="G105" s="49"/>
      <c r="H105" s="49"/>
      <c r="I105" s="101"/>
      <c r="J105" s="49"/>
      <c r="K105" s="101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  <c r="AA105" s="49"/>
    </row>
    <row r="106">
      <c r="A106" s="49"/>
      <c r="B106" s="49"/>
      <c r="C106" s="49"/>
      <c r="D106" s="4"/>
      <c r="E106" s="101"/>
      <c r="F106" s="49"/>
      <c r="G106" s="49"/>
      <c r="H106" s="49"/>
      <c r="I106" s="101"/>
      <c r="J106" s="49"/>
      <c r="K106" s="101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  <c r="AA106" s="49"/>
    </row>
    <row r="107">
      <c r="A107" s="49"/>
      <c r="B107" s="49"/>
      <c r="C107" s="49"/>
      <c r="D107" s="4"/>
      <c r="E107" s="101"/>
      <c r="F107" s="49"/>
      <c r="G107" s="49"/>
      <c r="H107" s="49"/>
      <c r="I107" s="101"/>
      <c r="J107" s="49"/>
      <c r="K107" s="101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  <c r="AA107" s="49"/>
    </row>
    <row r="108">
      <c r="A108" s="49"/>
      <c r="B108" s="49"/>
      <c r="C108" s="49"/>
      <c r="D108" s="4"/>
      <c r="E108" s="101"/>
      <c r="F108" s="49"/>
      <c r="G108" s="49"/>
      <c r="H108" s="49"/>
      <c r="I108" s="101"/>
      <c r="J108" s="49"/>
      <c r="K108" s="101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  <c r="AA108" s="49"/>
    </row>
    <row r="109">
      <c r="A109" s="49"/>
      <c r="B109" s="49"/>
      <c r="C109" s="49"/>
      <c r="D109" s="4"/>
      <c r="E109" s="101"/>
      <c r="F109" s="49"/>
      <c r="G109" s="49"/>
      <c r="H109" s="49"/>
      <c r="I109" s="101"/>
      <c r="J109" s="49"/>
      <c r="K109" s="101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  <c r="AA109" s="49"/>
    </row>
    <row r="110">
      <c r="A110" s="49"/>
      <c r="B110" s="49"/>
      <c r="C110" s="49"/>
      <c r="D110" s="4"/>
      <c r="E110" s="101"/>
      <c r="F110" s="49"/>
      <c r="G110" s="49"/>
      <c r="H110" s="49"/>
      <c r="I110" s="101"/>
      <c r="J110" s="49"/>
      <c r="K110" s="101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  <c r="AA110" s="49"/>
    </row>
    <row r="111">
      <c r="A111" s="49"/>
      <c r="B111" s="49"/>
      <c r="C111" s="49"/>
      <c r="D111" s="4"/>
      <c r="E111" s="101"/>
      <c r="F111" s="49"/>
      <c r="G111" s="49"/>
      <c r="H111" s="49"/>
      <c r="I111" s="101"/>
      <c r="J111" s="49"/>
      <c r="K111" s="101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  <c r="AA111" s="49"/>
    </row>
    <row r="112">
      <c r="A112" s="49"/>
      <c r="B112" s="49"/>
      <c r="C112" s="49"/>
      <c r="D112" s="4"/>
      <c r="E112" s="101"/>
      <c r="F112" s="49"/>
      <c r="G112" s="49"/>
      <c r="H112" s="49"/>
      <c r="I112" s="101"/>
      <c r="J112" s="49"/>
      <c r="K112" s="101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  <c r="AA112" s="49"/>
    </row>
    <row r="113">
      <c r="A113" s="49"/>
      <c r="B113" s="49"/>
      <c r="C113" s="49"/>
      <c r="D113" s="4"/>
      <c r="E113" s="101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  <c r="AA113" s="49"/>
    </row>
    <row r="114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  <c r="AA114" s="49"/>
    </row>
    <row r="115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  <c r="AA115" s="49"/>
    </row>
    <row r="116">
      <c r="A116" s="49"/>
      <c r="B116" s="49"/>
      <c r="C116" s="49"/>
      <c r="D116" s="49"/>
      <c r="E116" s="49"/>
      <c r="F116" s="49"/>
      <c r="G116" s="101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  <c r="AA116" s="49"/>
    </row>
    <row r="117">
      <c r="A117" s="49"/>
      <c r="B117" s="49"/>
      <c r="C117" s="49"/>
      <c r="D117" s="49"/>
      <c r="E117" s="49"/>
      <c r="F117" s="49"/>
      <c r="G117" s="160" t="s">
        <v>11</v>
      </c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  <c r="AA117" s="49"/>
    </row>
    <row r="118">
      <c r="A118" s="49"/>
      <c r="B118" s="49"/>
      <c r="C118" s="49"/>
      <c r="D118" s="49"/>
      <c r="E118" s="49"/>
      <c r="F118" s="49"/>
      <c r="G118" s="161" t="s">
        <v>11</v>
      </c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  <c r="AA118" s="49"/>
    </row>
    <row r="119">
      <c r="A119" s="49"/>
      <c r="B119" s="49"/>
      <c r="C119" s="49"/>
      <c r="D119" s="49"/>
      <c r="E119" s="49"/>
      <c r="F119" s="49"/>
      <c r="G119" s="161" t="s">
        <v>11</v>
      </c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  <c r="AA119" s="49"/>
    </row>
    <row r="120">
      <c r="A120" s="49"/>
      <c r="B120" s="49"/>
      <c r="C120" s="49"/>
      <c r="D120" s="49"/>
      <c r="E120" s="49"/>
      <c r="F120" s="49"/>
      <c r="G120" s="161" t="s">
        <v>11</v>
      </c>
      <c r="H120" s="49"/>
      <c r="I120" s="161" t="s">
        <v>11</v>
      </c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  <c r="AA120" s="49"/>
    </row>
    <row r="121">
      <c r="A121" s="49"/>
      <c r="B121" s="49"/>
      <c r="C121" s="49"/>
      <c r="D121" s="49"/>
      <c r="E121" s="49"/>
      <c r="F121" s="49"/>
      <c r="G121" s="161" t="s">
        <v>11</v>
      </c>
      <c r="H121" s="49"/>
      <c r="I121" s="161" t="s">
        <v>11</v>
      </c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  <c r="AA121" s="49"/>
    </row>
    <row r="122">
      <c r="A122" s="49"/>
      <c r="B122" s="49"/>
      <c r="C122" s="49"/>
      <c r="D122" s="49"/>
      <c r="E122" s="49"/>
      <c r="F122" s="49"/>
      <c r="G122" s="161" t="s">
        <v>11</v>
      </c>
      <c r="H122" s="49"/>
      <c r="I122" s="161" t="s">
        <v>11</v>
      </c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  <c r="AA122" s="49"/>
    </row>
    <row r="123">
      <c r="A123" s="49"/>
      <c r="B123" s="49"/>
      <c r="C123" s="49"/>
      <c r="D123" s="49"/>
      <c r="E123" s="49"/>
      <c r="F123" s="49"/>
      <c r="G123" s="161" t="s">
        <v>11</v>
      </c>
      <c r="H123" s="49"/>
      <c r="I123" s="161" t="s">
        <v>11</v>
      </c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  <c r="AA123" s="49"/>
    </row>
    <row r="124">
      <c r="A124" s="49"/>
      <c r="B124" s="49"/>
      <c r="C124" s="49"/>
      <c r="D124" s="49"/>
      <c r="E124" s="49"/>
      <c r="F124" s="49"/>
      <c r="G124" s="161" t="s">
        <v>11</v>
      </c>
      <c r="H124" s="49"/>
      <c r="I124" s="161" t="s">
        <v>11</v>
      </c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  <c r="AA124" s="49"/>
    </row>
    <row r="125">
      <c r="A125" s="49"/>
      <c r="B125" s="49"/>
      <c r="C125" s="49"/>
      <c r="D125" s="49"/>
      <c r="E125" s="49"/>
      <c r="F125" s="49"/>
      <c r="G125" s="161" t="s">
        <v>11</v>
      </c>
      <c r="H125" s="49"/>
      <c r="I125" s="161" t="s">
        <v>11</v>
      </c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  <c r="AA125" s="49"/>
    </row>
    <row r="126">
      <c r="A126" s="49"/>
      <c r="B126" s="49"/>
      <c r="C126" s="49"/>
      <c r="D126" s="49"/>
      <c r="E126" s="49"/>
      <c r="F126" s="49"/>
      <c r="G126" s="161" t="s">
        <v>11</v>
      </c>
      <c r="H126" s="49"/>
      <c r="I126" s="161" t="s">
        <v>11</v>
      </c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</row>
    <row r="127">
      <c r="A127" s="49"/>
      <c r="B127" s="49"/>
      <c r="C127" s="49"/>
      <c r="D127" s="49"/>
      <c r="E127" s="49"/>
      <c r="F127" s="49"/>
      <c r="G127" s="161" t="s">
        <v>11</v>
      </c>
      <c r="H127" s="49"/>
      <c r="I127" s="161" t="s">
        <v>11</v>
      </c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  <c r="AA127" s="49"/>
    </row>
    <row r="128">
      <c r="A128" s="49"/>
      <c r="B128" s="49"/>
      <c r="C128" s="49"/>
      <c r="D128" s="49"/>
      <c r="E128" s="49"/>
      <c r="F128" s="49"/>
      <c r="G128" s="161" t="s">
        <v>11</v>
      </c>
      <c r="H128" s="49"/>
      <c r="I128" s="161" t="s">
        <v>11</v>
      </c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  <c r="AA128" s="49"/>
    </row>
    <row r="129">
      <c r="A129" s="49"/>
      <c r="B129" s="49"/>
      <c r="C129" s="49"/>
      <c r="D129" s="49"/>
      <c r="E129" s="49"/>
      <c r="F129" s="49"/>
      <c r="G129" s="161" t="s">
        <v>11</v>
      </c>
      <c r="H129" s="49"/>
      <c r="I129" s="161" t="s">
        <v>11</v>
      </c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  <c r="AA129" s="49"/>
    </row>
    <row r="130">
      <c r="A130" s="49"/>
      <c r="B130" s="49"/>
      <c r="C130" s="49"/>
      <c r="D130" s="49"/>
      <c r="E130" s="49"/>
      <c r="F130" s="49"/>
      <c r="G130" s="161" t="s">
        <v>11</v>
      </c>
      <c r="H130" s="49"/>
      <c r="I130" s="161" t="s">
        <v>11</v>
      </c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  <c r="AA130" s="49"/>
    </row>
    <row r="131">
      <c r="A131" s="49"/>
      <c r="B131" s="49"/>
      <c r="C131" s="49"/>
      <c r="D131" s="49"/>
      <c r="E131" s="49"/>
      <c r="F131" s="49"/>
      <c r="G131" s="161" t="s">
        <v>11</v>
      </c>
      <c r="H131" s="49"/>
      <c r="I131" s="161" t="s">
        <v>11</v>
      </c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  <c r="AA131" s="49"/>
    </row>
    <row r="132">
      <c r="A132" s="49"/>
      <c r="B132" s="49"/>
      <c r="C132" s="49"/>
      <c r="D132" s="49"/>
      <c r="E132" s="49"/>
      <c r="F132" s="49"/>
      <c r="G132" s="161" t="s">
        <v>11</v>
      </c>
      <c r="H132" s="49"/>
      <c r="I132" s="161" t="s">
        <v>11</v>
      </c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  <c r="AA132" s="49"/>
    </row>
    <row r="133">
      <c r="A133" s="49"/>
      <c r="B133" s="49"/>
      <c r="C133" s="49"/>
      <c r="D133" s="49"/>
      <c r="E133" s="49"/>
      <c r="F133" s="49"/>
      <c r="G133" s="161" t="s">
        <v>11</v>
      </c>
      <c r="H133" s="49"/>
      <c r="I133" s="161" t="s">
        <v>11</v>
      </c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</row>
    <row r="134">
      <c r="A134" s="49"/>
      <c r="B134" s="49"/>
      <c r="C134" s="49"/>
      <c r="D134" s="49"/>
      <c r="E134" s="49"/>
      <c r="F134" s="49"/>
      <c r="G134" s="161" t="s">
        <v>11</v>
      </c>
      <c r="H134" s="49"/>
      <c r="I134" s="161" t="s">
        <v>11</v>
      </c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  <c r="AA134" s="49"/>
    </row>
    <row r="135">
      <c r="A135" s="49"/>
      <c r="B135" s="49"/>
      <c r="C135" s="49"/>
      <c r="D135" s="49"/>
      <c r="E135" s="49"/>
      <c r="F135" s="49"/>
      <c r="G135" s="161" t="s">
        <v>11</v>
      </c>
      <c r="H135" s="49"/>
      <c r="I135" s="161" t="s">
        <v>11</v>
      </c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  <c r="AA135" s="49"/>
    </row>
    <row r="136">
      <c r="A136" s="49"/>
      <c r="B136" s="49"/>
      <c r="C136" s="49"/>
      <c r="D136" s="49"/>
      <c r="E136" s="49"/>
      <c r="F136" s="49"/>
      <c r="G136" s="161" t="s">
        <v>11</v>
      </c>
      <c r="H136" s="49"/>
      <c r="I136" s="161" t="s">
        <v>11</v>
      </c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  <c r="AA136" s="49"/>
    </row>
    <row r="137">
      <c r="A137" s="49"/>
      <c r="B137" s="49"/>
      <c r="C137" s="49"/>
      <c r="D137" s="49"/>
      <c r="E137" s="49"/>
      <c r="F137" s="49"/>
      <c r="G137" s="161" t="s">
        <v>11</v>
      </c>
      <c r="H137" s="49"/>
      <c r="I137" s="161" t="s">
        <v>11</v>
      </c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  <c r="AA137" s="49"/>
    </row>
    <row r="138">
      <c r="A138" s="49"/>
      <c r="B138" s="49"/>
      <c r="C138" s="49"/>
      <c r="D138" s="49"/>
      <c r="E138" s="49"/>
      <c r="F138" s="49"/>
      <c r="G138" s="161" t="s">
        <v>11</v>
      </c>
      <c r="H138" s="49"/>
      <c r="I138" s="161" t="s">
        <v>11</v>
      </c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  <c r="AA138" s="49"/>
    </row>
    <row r="139">
      <c r="A139" s="49"/>
      <c r="B139" s="49"/>
      <c r="C139" s="49"/>
      <c r="D139" s="49"/>
      <c r="E139" s="49"/>
      <c r="F139" s="49"/>
      <c r="G139" s="161" t="s">
        <v>11</v>
      </c>
      <c r="H139" s="49"/>
      <c r="I139" s="161" t="s">
        <v>11</v>
      </c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  <c r="AA139" s="49"/>
    </row>
    <row r="140">
      <c r="A140" s="49"/>
      <c r="B140" s="49"/>
      <c r="C140" s="49"/>
      <c r="D140" s="49"/>
      <c r="E140" s="49"/>
      <c r="F140" s="49"/>
      <c r="G140" s="161" t="s">
        <v>11</v>
      </c>
      <c r="H140" s="49"/>
      <c r="I140" s="161" t="s">
        <v>11</v>
      </c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  <c r="AA140" s="49"/>
    </row>
    <row r="141">
      <c r="A141" s="49"/>
      <c r="B141" s="49"/>
      <c r="C141" s="49"/>
      <c r="D141" s="49"/>
      <c r="E141" s="49"/>
      <c r="F141" s="49"/>
      <c r="G141" s="161" t="s">
        <v>11</v>
      </c>
      <c r="H141" s="49"/>
      <c r="I141" s="161" t="s">
        <v>11</v>
      </c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  <c r="AA141" s="49"/>
    </row>
    <row r="142">
      <c r="A142" s="49"/>
      <c r="B142" s="49"/>
      <c r="C142" s="49"/>
      <c r="D142" s="49"/>
      <c r="E142" s="49"/>
      <c r="F142" s="49"/>
      <c r="G142" s="161" t="s">
        <v>11</v>
      </c>
      <c r="H142" s="49"/>
      <c r="I142" s="161" t="s">
        <v>11</v>
      </c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  <c r="AA142" s="49"/>
    </row>
    <row r="143">
      <c r="A143" s="49"/>
      <c r="B143" s="49"/>
      <c r="C143" s="49"/>
      <c r="D143" s="49"/>
      <c r="E143" s="49"/>
      <c r="F143" s="49"/>
      <c r="G143" s="161" t="s">
        <v>11</v>
      </c>
      <c r="H143" s="49"/>
      <c r="I143" s="161" t="s">
        <v>11</v>
      </c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  <c r="AA143" s="49"/>
    </row>
    <row r="144">
      <c r="A144" s="49"/>
      <c r="B144" s="49"/>
      <c r="C144" s="49"/>
      <c r="D144" s="49"/>
      <c r="E144" s="49"/>
      <c r="F144" s="49"/>
      <c r="G144" s="161" t="s">
        <v>11</v>
      </c>
      <c r="H144" s="49"/>
      <c r="I144" s="161" t="s">
        <v>11</v>
      </c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  <c r="AA144" s="49"/>
    </row>
    <row r="145">
      <c r="A145" s="49"/>
      <c r="B145" s="49"/>
      <c r="C145" s="49"/>
      <c r="D145" s="49"/>
      <c r="E145" s="49"/>
      <c r="F145" s="49"/>
      <c r="G145" s="161" t="s">
        <v>11</v>
      </c>
      <c r="H145" s="49"/>
      <c r="I145" s="161" t="s">
        <v>11</v>
      </c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  <c r="AA145" s="49"/>
    </row>
    <row r="146">
      <c r="A146" s="49"/>
      <c r="B146" s="49"/>
      <c r="C146" s="49"/>
      <c r="D146" s="49"/>
      <c r="E146" s="49"/>
      <c r="F146" s="49"/>
      <c r="G146" s="161" t="s">
        <v>11</v>
      </c>
      <c r="H146" s="49"/>
      <c r="I146" s="161" t="s">
        <v>11</v>
      </c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  <c r="AA146" s="49"/>
    </row>
    <row r="147">
      <c r="A147" s="49"/>
      <c r="B147" s="49"/>
      <c r="C147" s="49"/>
      <c r="D147" s="49"/>
      <c r="E147" s="49"/>
      <c r="F147" s="49"/>
      <c r="G147" s="161" t="s">
        <v>11</v>
      </c>
      <c r="H147" s="49"/>
      <c r="I147" s="161" t="s">
        <v>11</v>
      </c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  <c r="AA147" s="49"/>
    </row>
    <row r="148">
      <c r="A148" s="49"/>
      <c r="B148" s="49"/>
      <c r="C148" s="49"/>
      <c r="D148" s="49"/>
      <c r="E148" s="49"/>
      <c r="F148" s="49"/>
      <c r="G148" s="161" t="s">
        <v>11</v>
      </c>
      <c r="H148" s="49"/>
      <c r="I148" s="161" t="s">
        <v>11</v>
      </c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  <c r="AA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161" t="s">
        <v>11</v>
      </c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  <c r="AA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161" t="s">
        <v>11</v>
      </c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  <c r="AA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  <c r="AA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  <c r="AA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  <c r="AA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  <c r="AA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  <c r="AA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  <c r="AA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  <c r="AA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  <c r="AA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  <c r="AA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  <c r="AA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  <c r="AA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  <c r="AA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  <c r="AA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  <c r="AA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  <c r="AA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  <c r="AA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  <c r="AA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  <c r="AA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  <c r="AA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  <c r="AA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  <c r="AA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  <c r="AA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  <c r="AA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  <c r="AA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  <c r="AA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  <c r="AA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  <c r="AA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  <c r="AA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  <c r="AA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  <c r="AA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  <c r="AA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  <c r="AA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  <c r="AA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  <c r="AA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  <c r="AA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  <c r="AA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  <c r="AA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  <c r="AA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  <c r="AA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  <c r="AA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  <c r="AA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  <c r="AA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  <c r="AA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  <c r="AA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  <c r="AA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  <c r="AA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  <c r="AA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  <c r="AA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  <c r="AA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  <c r="AA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  <c r="AA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  <c r="AA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  <c r="AA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  <c r="AA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  <c r="AA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  <c r="AA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  <c r="AA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  <c r="AA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  <c r="AA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  <c r="AA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  <c r="AA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  <c r="AA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  <c r="AA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  <c r="AA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  <c r="AA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  <c r="AA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  <c r="AA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  <c r="AA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  <c r="AA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  <c r="AA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  <c r="AA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  <c r="AA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  <c r="AA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  <c r="AA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  <c r="AA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  <c r="AA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  <c r="AA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  <c r="AA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  <c r="AA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  <c r="AA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  <c r="AA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  <c r="AA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  <c r="AA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  <c r="AA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  <c r="AA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  <c r="AA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  <c r="AA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  <c r="AA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  <c r="AA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  <c r="AA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  <c r="AA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  <c r="AA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  <c r="AA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  <c r="AA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  <c r="AA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  <c r="AA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  <c r="AA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  <c r="AA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  <c r="AA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  <c r="AA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  <c r="AA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  <c r="AA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  <c r="AA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  <c r="AA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  <c r="AA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  <c r="AA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  <c r="AA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  <c r="AA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  <c r="AA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  <c r="AA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  <c r="AA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  <c r="AA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  <c r="AA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  <c r="AA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  <c r="AA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  <c r="AA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  <c r="AA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  <c r="AA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  <c r="AA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  <c r="AA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  <c r="AA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  <c r="AA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  <c r="AA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  <c r="AA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  <c r="AA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  <c r="AA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  <c r="AA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  <c r="AA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  <c r="AA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  <c r="AA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  <c r="AA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  <c r="AA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  <c r="AA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  <c r="AA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  <c r="AA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  <c r="AA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  <c r="AA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  <c r="AA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  <c r="AA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  <c r="AA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  <c r="AA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  <c r="AA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  <c r="AA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  <c r="AA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  <c r="AA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  <c r="AA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  <c r="AA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  <c r="AA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  <c r="AA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  <c r="AA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  <c r="AA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  <c r="AA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  <c r="AA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  <c r="AA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  <c r="AA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  <c r="AA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  <c r="AA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  <c r="AA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  <c r="AA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  <c r="AA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  <c r="AA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  <c r="AA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  <c r="AA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  <c r="AA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  <c r="AA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  <c r="AA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  <c r="AA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  <c r="AA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  <c r="AA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  <c r="AA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  <c r="AA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  <c r="AA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  <c r="AA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  <c r="AA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  <c r="AA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  <c r="AA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  <c r="AA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  <c r="AA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  <c r="AA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  <c r="AA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  <c r="AA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  <c r="AA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  <c r="AA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  <c r="AA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  <c r="AA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  <c r="AA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  <c r="AA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  <c r="AA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  <c r="AA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  <c r="AA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  <c r="AA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  <c r="AA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  <c r="AA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  <c r="AA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  <c r="AA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  <c r="AA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  <c r="AA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  <c r="AA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  <c r="AA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  <c r="AA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  <c r="AA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  <c r="AA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  <c r="AA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  <c r="AA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  <c r="AA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  <c r="AA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  <c r="AA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  <c r="AA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  <c r="AA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  <c r="AA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  <c r="AA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  <c r="AA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  <c r="AA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  <c r="AA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  <c r="AA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  <c r="AA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  <c r="AA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  <c r="AA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  <c r="AA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  <c r="AA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  <c r="AA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  <c r="AA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  <c r="AA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  <c r="AA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  <c r="AA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  <c r="AA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  <c r="AA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  <c r="AA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  <c r="AA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  <c r="AA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  <c r="AA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  <c r="AA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  <c r="AA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  <c r="AA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  <c r="AA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  <c r="AA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  <c r="AA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  <c r="AA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  <c r="AA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  <c r="AA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  <c r="AA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  <c r="AA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  <c r="AA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  <c r="AA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  <c r="AA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  <c r="AA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  <c r="AA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  <c r="AA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  <c r="AA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  <c r="AA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  <c r="AA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  <c r="AA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  <c r="AA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  <c r="AA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  <c r="AA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  <c r="AA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  <c r="AA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  <c r="AA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  <c r="AA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  <c r="AA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  <c r="AA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  <c r="AA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  <c r="AA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  <c r="AA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  <c r="AA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  <c r="AA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  <c r="AA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  <c r="AA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  <c r="AA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  <c r="AA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  <c r="AA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  <c r="AA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  <c r="AA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  <c r="AA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  <c r="AA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  <c r="AA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  <c r="AA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  <c r="AA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  <c r="AA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  <c r="AA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  <c r="AA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  <c r="AA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  <c r="AA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  <c r="AA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  <c r="AA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  <c r="AA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  <c r="AA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  <c r="AA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  <c r="AA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  <c r="AA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  <c r="AA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  <c r="AA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  <c r="AA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  <c r="AA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  <c r="AA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  <c r="AA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  <c r="AA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  <c r="AA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  <c r="AA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  <c r="AA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  <c r="AA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  <c r="AA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  <c r="AA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  <c r="AA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  <c r="AA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  <c r="AA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  <c r="AA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  <c r="AA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  <c r="AA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  <c r="AA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  <c r="AA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  <c r="AA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  <c r="AA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  <c r="AA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  <c r="AA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  <c r="AA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  <c r="AA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  <c r="AA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  <c r="AA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  <c r="AA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  <c r="AA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  <c r="AA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  <c r="AA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  <c r="AA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  <c r="AA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  <c r="AA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  <c r="AA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  <c r="AA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  <c r="AA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  <c r="AA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  <c r="AA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  <c r="AA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  <c r="AA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  <c r="AA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  <c r="AA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  <c r="AA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  <c r="AA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  <c r="AA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  <c r="AA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  <c r="AA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  <c r="AA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  <c r="AA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  <c r="AA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  <c r="AA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  <c r="AA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  <c r="AA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  <c r="AA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  <c r="AA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  <c r="AA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  <c r="AA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  <c r="AA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  <c r="AA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  <c r="AA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  <c r="AA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  <c r="AA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  <c r="AA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  <c r="AA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  <c r="AA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  <c r="AA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  <c r="AA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  <c r="AA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  <c r="AA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  <c r="AA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  <c r="AA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  <c r="AA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  <c r="AA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  <c r="AA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  <c r="AA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  <c r="AA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  <c r="AA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  <c r="AA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  <c r="AA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  <c r="AA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  <c r="AA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  <c r="AA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  <c r="AA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  <c r="AA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  <c r="AA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  <c r="AA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  <c r="AA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  <c r="AA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  <c r="AA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  <c r="AA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  <c r="AA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  <c r="AA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  <c r="AA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  <c r="AA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  <c r="AA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  <c r="AA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  <c r="AA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  <c r="AA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  <c r="AA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  <c r="AA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  <c r="AA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  <c r="AA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  <c r="AA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  <c r="AA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  <c r="AA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  <c r="AA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  <c r="AA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  <c r="AA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  <c r="AA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  <c r="AA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  <c r="AA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  <c r="AA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  <c r="AA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  <c r="AA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  <c r="AA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  <c r="AA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  <c r="AA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  <c r="AA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  <c r="AA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  <c r="AA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  <c r="AA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  <c r="AA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  <c r="AA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  <c r="AA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  <c r="AA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  <c r="AA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  <c r="AA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  <c r="AA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  <c r="AA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  <c r="AA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  <c r="AA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  <c r="AA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  <c r="AA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  <c r="AA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  <c r="AA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  <c r="AA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  <c r="AA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  <c r="AA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  <c r="AA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  <c r="AA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  <c r="AA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  <c r="AA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  <c r="AA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  <c r="AA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  <c r="AA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  <c r="AA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  <c r="AA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  <c r="AA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  <c r="AA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  <c r="AA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  <c r="AA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  <c r="AA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  <c r="AA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  <c r="AA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  <c r="AA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  <c r="AA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  <c r="AA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  <c r="AA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  <c r="AA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  <c r="AA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  <c r="AA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  <c r="AA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  <c r="AA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  <c r="AA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  <c r="AA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  <c r="AA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  <c r="AA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  <c r="AA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  <c r="AA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  <c r="AA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  <c r="AA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  <c r="AA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  <c r="AA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  <c r="AA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  <c r="AA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  <c r="AA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  <c r="AA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  <c r="AA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  <c r="AA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  <c r="AA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  <c r="AA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  <c r="AA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  <c r="AA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  <c r="AA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  <c r="AA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  <c r="AA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  <c r="AA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  <c r="AA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  <c r="AA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  <c r="AA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  <c r="AA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  <c r="AA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  <c r="AA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  <c r="AA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  <c r="AA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  <c r="AA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  <c r="AA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  <c r="AA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  <c r="AA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  <c r="AA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  <c r="AA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  <c r="AA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  <c r="AA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  <c r="AA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  <c r="AA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  <c r="AA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  <c r="AA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  <c r="AA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  <c r="AA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  <c r="AA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  <c r="AA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  <c r="AA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  <c r="AA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  <c r="AA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  <c r="AA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  <c r="AA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  <c r="AA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  <c r="AA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  <c r="AA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  <c r="AA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  <c r="AA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  <c r="AA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  <c r="AA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  <c r="AA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  <c r="AA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  <c r="AA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  <c r="AA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  <c r="AA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  <c r="AA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  <c r="AA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  <c r="AA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  <c r="AA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  <c r="AA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  <c r="AA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  <c r="AA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  <c r="AA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  <c r="AA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  <c r="AA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  <c r="AA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  <c r="AA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  <c r="AA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  <c r="AA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  <c r="AA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  <c r="AA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  <c r="AA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  <c r="AA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  <c r="AA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  <c r="AA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  <c r="AA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  <c r="AA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  <c r="AA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  <c r="AA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  <c r="AA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  <c r="AA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  <c r="AA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  <c r="AA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  <c r="AA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  <c r="AA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  <c r="AA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  <c r="AA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  <c r="AA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  <c r="AA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  <c r="AA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  <c r="AA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  <c r="AA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  <c r="AA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  <c r="AA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  <c r="AA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  <c r="AA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  <c r="AA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  <c r="AA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  <c r="AA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  <c r="AA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  <c r="AA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  <c r="AA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  <c r="AA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  <c r="AA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  <c r="AA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  <c r="AA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  <c r="AA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  <c r="AA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  <c r="AA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  <c r="AA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  <c r="AA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  <c r="AA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  <c r="AA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  <c r="AA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  <c r="AA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  <c r="AA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  <c r="AA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  <c r="AA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  <c r="AA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  <c r="AA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  <c r="AA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  <c r="AA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  <c r="AA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  <c r="AA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  <c r="AA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  <c r="AA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  <c r="AA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  <c r="AA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  <c r="AA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  <c r="AA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  <c r="AA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  <c r="AA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  <c r="AA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  <c r="AA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  <c r="AA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  <c r="AA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  <c r="AA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  <c r="AA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  <c r="AA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  <c r="AA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  <c r="AA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  <c r="AA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  <c r="AA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  <c r="AA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  <c r="AA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  <c r="AA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  <c r="AA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  <c r="AA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  <c r="AA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  <c r="AA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  <c r="AA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  <c r="AA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  <c r="AA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  <c r="AA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  <c r="AA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  <c r="AA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  <c r="AA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  <c r="AA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  <c r="AA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  <c r="AA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  <c r="AA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  <c r="AA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  <c r="AA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  <c r="AA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  <c r="AA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  <c r="AA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  <c r="AA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  <c r="AA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  <c r="AA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  <c r="AA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  <c r="AA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  <c r="AA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  <c r="AA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  <c r="AA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  <c r="AA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  <c r="AA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  <c r="AA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  <c r="AA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  <c r="AA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  <c r="AA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  <c r="AA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  <c r="AA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  <c r="AA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  <c r="AA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  <c r="AA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  <c r="AA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  <c r="AA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  <c r="AA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  <c r="AA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  <c r="AA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  <c r="AA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  <c r="AA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  <c r="AA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  <c r="AA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  <c r="AA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  <c r="AA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  <c r="AA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  <c r="AA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  <c r="AA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  <c r="AA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  <c r="AA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  <c r="AA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  <c r="AA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  <c r="AA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  <c r="AA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  <c r="AA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  <c r="AA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  <c r="AA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  <c r="AA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  <c r="AA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  <c r="AA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  <c r="AA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  <c r="AA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  <c r="AA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  <c r="AA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  <c r="AA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  <c r="AA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  <c r="AA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  <c r="AA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  <c r="AA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  <c r="AA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  <c r="AA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  <c r="AA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  <c r="AA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  <c r="AA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  <c r="AA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  <c r="AA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  <c r="AA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  <c r="AA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  <c r="AA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  <c r="AA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  <c r="AA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  <c r="AA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  <c r="AA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  <c r="AA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  <c r="AA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  <c r="AA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  <c r="AA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  <c r="AA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  <c r="AA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  <c r="AA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  <c r="AA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  <c r="AA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  <c r="AA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  <c r="AA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  <c r="AA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  <c r="AA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  <c r="AA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  <c r="AA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  <c r="AA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  <c r="AA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  <c r="AA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  <c r="AA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  <c r="AA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  <c r="AA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  <c r="AA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  <c r="AA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  <c r="AA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  <c r="AA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  <c r="AA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  <c r="AA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  <c r="AA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  <c r="AA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  <c r="AA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  <c r="AA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  <c r="AA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  <c r="AA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  <c r="AA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  <c r="AA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  <c r="AA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  <c r="AA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  <c r="AA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  <c r="AA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  <c r="AA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  <c r="AA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  <c r="AA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  <c r="AA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  <c r="AA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  <c r="AA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  <c r="AA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  <c r="AA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  <c r="AA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  <c r="AA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  <c r="AA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  <c r="AA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  <c r="AA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  <c r="AA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  <c r="AA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  <c r="AA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  <c r="AA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  <c r="AA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  <c r="AA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  <c r="AA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  <c r="AA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  <c r="AA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  <c r="AA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  <c r="AA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  <c r="AA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  <c r="AA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  <c r="AA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  <c r="AA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  <c r="AA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  <c r="AA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  <c r="AA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  <c r="AA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  <c r="AA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  <c r="AA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  <c r="AA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  <c r="AA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  <c r="AA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  <c r="AA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  <c r="AA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  <c r="AA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  <c r="AA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  <c r="AA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  <c r="AA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  <c r="AA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  <c r="AA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  <c r="AA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  <c r="AA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  <c r="AA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  <c r="AA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  <c r="AA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  <c r="AA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  <c r="AA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  <c r="AA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  <c r="AA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  <c r="AA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  <c r="AA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  <c r="AA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  <c r="AA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  <c r="AA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  <c r="AA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  <c r="AA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  <c r="AA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  <c r="AA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  <c r="AA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  <c r="AA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  <c r="AA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  <c r="AA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  <c r="AA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  <c r="AA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  <c r="AA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  <c r="AA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  <c r="AA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  <c r="AA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  <c r="AA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  <c r="AA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  <c r="AA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  <c r="AA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  <c r="AA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  <c r="AA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  <c r="AA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  <c r="AA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  <c r="AA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  <c r="AA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  <c r="AA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  <c r="AA1000" s="49"/>
    </row>
    <row r="1001">
      <c r="A1001" s="49"/>
      <c r="B1001" s="49"/>
      <c r="C1001" s="49"/>
      <c r="D1001" s="49"/>
      <c r="E1001" s="49"/>
      <c r="F1001" s="49"/>
      <c r="G1001" s="49"/>
      <c r="H1001" s="49"/>
      <c r="I1001" s="49"/>
      <c r="J1001" s="49"/>
      <c r="K1001" s="49"/>
      <c r="L1001" s="49"/>
      <c r="M1001" s="49"/>
      <c r="N1001" s="49"/>
      <c r="O1001" s="49"/>
      <c r="P1001" s="49"/>
      <c r="Q1001" s="49"/>
      <c r="R1001" s="49"/>
      <c r="S1001" s="49"/>
      <c r="T1001" s="49"/>
      <c r="U1001" s="49"/>
      <c r="V1001" s="49"/>
      <c r="W1001" s="49"/>
      <c r="X1001" s="49"/>
      <c r="Y1001" s="49"/>
      <c r="Z1001" s="49"/>
      <c r="AA1001" s="49"/>
    </row>
    <row r="1002">
      <c r="A1002" s="49"/>
      <c r="B1002" s="49"/>
      <c r="C1002" s="49"/>
      <c r="D1002" s="49"/>
      <c r="E1002" s="49"/>
      <c r="F1002" s="49"/>
      <c r="G1002" s="49"/>
      <c r="H1002" s="49"/>
      <c r="I1002" s="49"/>
      <c r="J1002" s="49"/>
      <c r="K1002" s="49"/>
      <c r="L1002" s="49"/>
      <c r="M1002" s="49"/>
      <c r="N1002" s="49"/>
      <c r="O1002" s="49"/>
      <c r="P1002" s="49"/>
      <c r="Q1002" s="49"/>
      <c r="R1002" s="49"/>
      <c r="S1002" s="49"/>
      <c r="T1002" s="49"/>
      <c r="U1002" s="49"/>
      <c r="V1002" s="49"/>
      <c r="W1002" s="49"/>
      <c r="X1002" s="49"/>
      <c r="Y1002" s="49"/>
      <c r="Z1002" s="49"/>
      <c r="AA1002" s="49"/>
    </row>
    <row r="1003">
      <c r="A1003" s="49"/>
      <c r="B1003" s="49"/>
      <c r="C1003" s="49"/>
      <c r="D1003" s="49"/>
      <c r="E1003" s="49"/>
      <c r="F1003" s="49"/>
      <c r="G1003" s="49"/>
      <c r="H1003" s="49"/>
      <c r="I1003" s="49"/>
      <c r="J1003" s="49"/>
      <c r="K1003" s="49"/>
      <c r="L1003" s="49"/>
      <c r="M1003" s="49"/>
      <c r="N1003" s="49"/>
      <c r="O1003" s="49"/>
      <c r="P1003" s="49"/>
      <c r="Q1003" s="49"/>
      <c r="R1003" s="49"/>
      <c r="S1003" s="49"/>
      <c r="T1003" s="49"/>
      <c r="U1003" s="49"/>
      <c r="V1003" s="49"/>
      <c r="W1003" s="49"/>
      <c r="X1003" s="49"/>
      <c r="Y1003" s="49"/>
      <c r="Z1003" s="49"/>
      <c r="AA1003" s="49"/>
    </row>
    <row r="1004">
      <c r="A1004" s="49"/>
      <c r="B1004" s="49"/>
      <c r="C1004" s="49"/>
      <c r="D1004" s="49"/>
      <c r="E1004" s="49"/>
      <c r="F1004" s="49"/>
      <c r="G1004" s="49"/>
      <c r="H1004" s="49"/>
      <c r="I1004" s="49"/>
      <c r="J1004" s="49"/>
      <c r="K1004" s="49"/>
      <c r="L1004" s="49"/>
      <c r="M1004" s="49"/>
      <c r="N1004" s="49"/>
      <c r="O1004" s="49"/>
      <c r="P1004" s="49"/>
      <c r="Q1004" s="49"/>
      <c r="R1004" s="49"/>
      <c r="S1004" s="49"/>
      <c r="T1004" s="49"/>
      <c r="U1004" s="49"/>
      <c r="V1004" s="49"/>
      <c r="W1004" s="49"/>
      <c r="X1004" s="49"/>
      <c r="Y1004" s="49"/>
      <c r="Z1004" s="49"/>
      <c r="AA1004" s="49"/>
    </row>
    <row r="1005">
      <c r="A1005" s="49"/>
      <c r="B1005" s="49"/>
      <c r="C1005" s="49"/>
      <c r="D1005" s="49"/>
      <c r="E1005" s="49"/>
      <c r="F1005" s="49"/>
      <c r="G1005" s="49"/>
      <c r="H1005" s="49"/>
      <c r="I1005" s="49"/>
      <c r="J1005" s="49"/>
      <c r="K1005" s="49"/>
      <c r="L1005" s="49"/>
      <c r="M1005" s="49"/>
      <c r="N1005" s="49"/>
      <c r="O1005" s="49"/>
      <c r="P1005" s="49"/>
      <c r="Q1005" s="49"/>
      <c r="R1005" s="49"/>
      <c r="S1005" s="49"/>
      <c r="T1005" s="49"/>
      <c r="U1005" s="49"/>
      <c r="V1005" s="49"/>
      <c r="W1005" s="49"/>
      <c r="X1005" s="49"/>
      <c r="Y1005" s="49"/>
      <c r="Z1005" s="49"/>
      <c r="AA1005" s="49"/>
    </row>
    <row r="1006">
      <c r="A1006" s="49"/>
      <c r="B1006" s="49"/>
      <c r="C1006" s="49"/>
      <c r="D1006" s="49"/>
      <c r="E1006" s="49"/>
      <c r="F1006" s="49"/>
      <c r="G1006" s="49"/>
      <c r="H1006" s="49"/>
      <c r="I1006" s="49"/>
      <c r="J1006" s="49"/>
      <c r="K1006" s="49"/>
      <c r="L1006" s="49"/>
      <c r="M1006" s="49"/>
      <c r="N1006" s="49"/>
      <c r="O1006" s="49"/>
      <c r="P1006" s="49"/>
      <c r="Q1006" s="49"/>
      <c r="R1006" s="49"/>
      <c r="S1006" s="49"/>
      <c r="T1006" s="49"/>
      <c r="U1006" s="49"/>
      <c r="V1006" s="49"/>
      <c r="W1006" s="49"/>
      <c r="X1006" s="49"/>
      <c r="Y1006" s="49"/>
      <c r="Z1006" s="49"/>
      <c r="AA1006" s="49"/>
    </row>
    <row r="1007">
      <c r="A1007" s="49"/>
      <c r="B1007" s="49"/>
      <c r="C1007" s="49"/>
      <c r="D1007" s="49"/>
      <c r="E1007" s="49"/>
      <c r="F1007" s="49"/>
      <c r="G1007" s="49"/>
      <c r="H1007" s="49"/>
      <c r="I1007" s="49"/>
      <c r="J1007" s="49"/>
      <c r="K1007" s="49"/>
      <c r="L1007" s="49"/>
      <c r="M1007" s="49"/>
      <c r="N1007" s="49"/>
      <c r="O1007" s="49"/>
      <c r="P1007" s="49"/>
      <c r="Q1007" s="49"/>
      <c r="R1007" s="49"/>
      <c r="S1007" s="49"/>
      <c r="T1007" s="49"/>
      <c r="U1007" s="49"/>
      <c r="V1007" s="49"/>
      <c r="W1007" s="49"/>
      <c r="X1007" s="49"/>
      <c r="Y1007" s="49"/>
      <c r="Z1007" s="49"/>
      <c r="AA1007" s="49"/>
    </row>
    <row r="1008">
      <c r="A1008" s="49"/>
      <c r="B1008" s="49"/>
      <c r="C1008" s="49"/>
      <c r="D1008" s="49"/>
      <c r="E1008" s="49"/>
      <c r="F1008" s="49"/>
      <c r="G1008" s="49"/>
      <c r="H1008" s="49"/>
      <c r="I1008" s="49"/>
      <c r="J1008" s="49"/>
      <c r="K1008" s="49"/>
      <c r="L1008" s="49"/>
      <c r="M1008" s="49"/>
      <c r="N1008" s="49"/>
      <c r="O1008" s="49"/>
      <c r="P1008" s="49"/>
      <c r="Q1008" s="49"/>
      <c r="R1008" s="49"/>
      <c r="S1008" s="49"/>
      <c r="T1008" s="49"/>
      <c r="U1008" s="49"/>
      <c r="V1008" s="49"/>
      <c r="W1008" s="49"/>
      <c r="X1008" s="49"/>
      <c r="Y1008" s="49"/>
      <c r="Z1008" s="49"/>
      <c r="AA1008" s="49"/>
    </row>
    <row r="1009">
      <c r="A1009" s="49"/>
      <c r="B1009" s="49"/>
      <c r="C1009" s="49"/>
      <c r="D1009" s="49"/>
      <c r="E1009" s="49"/>
      <c r="F1009" s="49"/>
      <c r="G1009" s="49"/>
      <c r="H1009" s="49"/>
      <c r="I1009" s="49"/>
      <c r="J1009" s="49"/>
      <c r="K1009" s="49"/>
      <c r="L1009" s="49"/>
      <c r="M1009" s="49"/>
      <c r="N1009" s="49"/>
      <c r="O1009" s="49"/>
      <c r="P1009" s="49"/>
      <c r="Q1009" s="49"/>
      <c r="R1009" s="49"/>
      <c r="S1009" s="49"/>
      <c r="T1009" s="49"/>
      <c r="U1009" s="49"/>
      <c r="V1009" s="49"/>
      <c r="W1009" s="49"/>
      <c r="X1009" s="49"/>
      <c r="Y1009" s="49"/>
      <c r="Z1009" s="49"/>
      <c r="AA1009" s="49"/>
    </row>
    <row r="1010">
      <c r="A1010" s="49"/>
      <c r="B1010" s="49"/>
      <c r="C1010" s="49"/>
      <c r="D1010" s="49"/>
      <c r="E1010" s="49"/>
      <c r="F1010" s="49"/>
      <c r="G1010" s="49"/>
      <c r="H1010" s="49"/>
      <c r="I1010" s="49"/>
      <c r="J1010" s="49"/>
      <c r="K1010" s="49"/>
      <c r="L1010" s="49"/>
      <c r="M1010" s="49"/>
      <c r="N1010" s="49"/>
      <c r="O1010" s="49"/>
      <c r="P1010" s="49"/>
      <c r="Q1010" s="49"/>
      <c r="R1010" s="49"/>
      <c r="S1010" s="49"/>
      <c r="T1010" s="49"/>
      <c r="U1010" s="49"/>
      <c r="V1010" s="49"/>
      <c r="W1010" s="49"/>
      <c r="X1010" s="49"/>
      <c r="Y1010" s="49"/>
      <c r="Z1010" s="49"/>
      <c r="AA1010" s="49"/>
    </row>
    <row r="1011">
      <c r="A1011" s="49"/>
      <c r="B1011" s="49"/>
      <c r="C1011" s="49"/>
      <c r="D1011" s="49"/>
      <c r="E1011" s="49"/>
      <c r="F1011" s="49"/>
      <c r="G1011" s="49"/>
      <c r="H1011" s="49"/>
      <c r="I1011" s="49"/>
      <c r="J1011" s="49"/>
      <c r="K1011" s="49"/>
      <c r="L1011" s="49"/>
      <c r="M1011" s="49"/>
      <c r="N1011" s="49"/>
      <c r="O1011" s="49"/>
      <c r="P1011" s="49"/>
      <c r="Q1011" s="49"/>
      <c r="R1011" s="49"/>
      <c r="S1011" s="49"/>
      <c r="T1011" s="49"/>
      <c r="U1011" s="49"/>
      <c r="V1011" s="49"/>
      <c r="W1011" s="49"/>
      <c r="X1011" s="49"/>
      <c r="Y1011" s="49"/>
      <c r="Z1011" s="49"/>
      <c r="AA1011" s="49"/>
    </row>
    <row r="1012">
      <c r="A1012" s="49"/>
      <c r="B1012" s="49"/>
      <c r="C1012" s="49"/>
      <c r="D1012" s="49"/>
      <c r="E1012" s="49"/>
      <c r="F1012" s="49"/>
      <c r="G1012" s="49"/>
      <c r="H1012" s="49"/>
      <c r="I1012" s="49"/>
      <c r="J1012" s="49"/>
      <c r="K1012" s="49"/>
      <c r="L1012" s="49"/>
      <c r="M1012" s="49"/>
      <c r="N1012" s="49"/>
      <c r="O1012" s="49"/>
      <c r="P1012" s="49"/>
      <c r="Q1012" s="49"/>
      <c r="R1012" s="49"/>
      <c r="S1012" s="49"/>
      <c r="T1012" s="49"/>
      <c r="U1012" s="49"/>
      <c r="V1012" s="49"/>
      <c r="W1012" s="49"/>
      <c r="X1012" s="49"/>
      <c r="Y1012" s="49"/>
      <c r="Z1012" s="49"/>
      <c r="AA1012" s="49"/>
    </row>
    <row r="1013">
      <c r="A1013" s="49"/>
      <c r="B1013" s="49"/>
      <c r="C1013" s="49"/>
      <c r="D1013" s="49"/>
      <c r="E1013" s="49"/>
      <c r="F1013" s="49"/>
      <c r="G1013" s="49"/>
      <c r="H1013" s="49"/>
      <c r="I1013" s="49"/>
      <c r="J1013" s="49"/>
      <c r="K1013" s="49"/>
      <c r="L1013" s="49"/>
      <c r="M1013" s="49"/>
      <c r="N1013" s="49"/>
      <c r="O1013" s="49"/>
      <c r="P1013" s="49"/>
      <c r="Q1013" s="49"/>
      <c r="R1013" s="49"/>
      <c r="S1013" s="49"/>
      <c r="T1013" s="49"/>
      <c r="U1013" s="49"/>
      <c r="V1013" s="49"/>
      <c r="W1013" s="49"/>
      <c r="X1013" s="49"/>
      <c r="Y1013" s="49"/>
      <c r="Z1013" s="49"/>
      <c r="AA1013" s="49"/>
    </row>
    <row r="1014">
      <c r="A1014" s="49"/>
      <c r="B1014" s="49"/>
      <c r="C1014" s="49"/>
      <c r="D1014" s="49"/>
      <c r="E1014" s="49"/>
      <c r="F1014" s="49"/>
      <c r="G1014" s="49"/>
      <c r="H1014" s="49"/>
      <c r="I1014" s="49"/>
      <c r="J1014" s="49"/>
      <c r="K1014" s="49"/>
      <c r="L1014" s="49"/>
      <c r="M1014" s="49"/>
      <c r="N1014" s="49"/>
      <c r="O1014" s="49"/>
      <c r="P1014" s="49"/>
      <c r="Q1014" s="49"/>
      <c r="R1014" s="49"/>
      <c r="S1014" s="49"/>
      <c r="T1014" s="49"/>
      <c r="U1014" s="49"/>
      <c r="V1014" s="49"/>
      <c r="W1014" s="49"/>
      <c r="X1014" s="49"/>
      <c r="Y1014" s="49"/>
      <c r="Z1014" s="49"/>
      <c r="AA1014" s="49"/>
    </row>
    <row r="1015">
      <c r="A1015" s="49"/>
      <c r="B1015" s="49"/>
      <c r="C1015" s="49"/>
      <c r="D1015" s="49"/>
      <c r="E1015" s="49"/>
      <c r="F1015" s="49"/>
      <c r="G1015" s="49"/>
      <c r="H1015" s="49"/>
      <c r="I1015" s="49"/>
      <c r="J1015" s="49"/>
      <c r="K1015" s="49"/>
      <c r="L1015" s="49"/>
      <c r="M1015" s="49"/>
      <c r="N1015" s="49"/>
      <c r="O1015" s="49"/>
      <c r="P1015" s="49"/>
      <c r="Q1015" s="49"/>
      <c r="R1015" s="49"/>
      <c r="S1015" s="49"/>
      <c r="T1015" s="49"/>
      <c r="U1015" s="49"/>
      <c r="V1015" s="49"/>
      <c r="W1015" s="49"/>
      <c r="X1015" s="49"/>
      <c r="Y1015" s="49"/>
      <c r="Z1015" s="49"/>
      <c r="AA1015" s="49"/>
    </row>
    <row r="1016">
      <c r="A1016" s="49"/>
      <c r="B1016" s="49"/>
      <c r="C1016" s="49"/>
      <c r="D1016" s="49"/>
      <c r="E1016" s="49"/>
      <c r="F1016" s="49"/>
      <c r="G1016" s="49"/>
      <c r="H1016" s="49"/>
      <c r="I1016" s="49"/>
      <c r="J1016" s="49"/>
      <c r="K1016" s="49"/>
      <c r="L1016" s="49"/>
      <c r="M1016" s="49"/>
      <c r="N1016" s="49"/>
      <c r="O1016" s="49"/>
      <c r="P1016" s="49"/>
      <c r="Q1016" s="49"/>
      <c r="R1016" s="49"/>
      <c r="S1016" s="49"/>
      <c r="T1016" s="49"/>
      <c r="U1016" s="49"/>
      <c r="V1016" s="49"/>
      <c r="W1016" s="49"/>
      <c r="X1016" s="49"/>
      <c r="Y1016" s="49"/>
      <c r="Z1016" s="49"/>
      <c r="AA1016" s="49"/>
    </row>
    <row r="1017">
      <c r="A1017" s="49"/>
      <c r="B1017" s="49"/>
      <c r="C1017" s="49"/>
      <c r="D1017" s="49"/>
      <c r="E1017" s="49"/>
      <c r="F1017" s="49"/>
      <c r="G1017" s="49"/>
      <c r="H1017" s="49"/>
      <c r="I1017" s="49"/>
      <c r="J1017" s="49"/>
      <c r="K1017" s="49"/>
      <c r="L1017" s="49"/>
      <c r="M1017" s="49"/>
      <c r="N1017" s="49"/>
      <c r="O1017" s="49"/>
      <c r="P1017" s="49"/>
      <c r="Q1017" s="49"/>
      <c r="R1017" s="49"/>
      <c r="S1017" s="49"/>
      <c r="T1017" s="49"/>
      <c r="U1017" s="49"/>
      <c r="V1017" s="49"/>
      <c r="W1017" s="49"/>
      <c r="X1017" s="49"/>
      <c r="Y1017" s="49"/>
      <c r="Z1017" s="49"/>
      <c r="AA1017" s="49"/>
    </row>
    <row r="1018">
      <c r="A1018" s="49"/>
      <c r="B1018" s="49"/>
      <c r="C1018" s="49"/>
      <c r="D1018" s="49"/>
      <c r="E1018" s="49"/>
      <c r="F1018" s="49"/>
      <c r="G1018" s="49"/>
      <c r="H1018" s="49"/>
      <c r="I1018" s="49"/>
      <c r="J1018" s="49"/>
      <c r="K1018" s="49"/>
      <c r="L1018" s="49"/>
      <c r="M1018" s="49"/>
      <c r="N1018" s="49"/>
      <c r="O1018" s="49"/>
      <c r="P1018" s="49"/>
      <c r="Q1018" s="49"/>
      <c r="R1018" s="49"/>
      <c r="S1018" s="49"/>
      <c r="T1018" s="49"/>
      <c r="U1018" s="49"/>
      <c r="V1018" s="49"/>
      <c r="W1018" s="49"/>
      <c r="X1018" s="49"/>
      <c r="Y1018" s="49"/>
      <c r="Z1018" s="49"/>
      <c r="AA1018" s="49"/>
    </row>
    <row r="1019">
      <c r="A1019" s="49"/>
      <c r="B1019" s="49"/>
      <c r="C1019" s="49"/>
      <c r="D1019" s="49"/>
      <c r="E1019" s="49"/>
      <c r="F1019" s="49"/>
      <c r="G1019" s="49"/>
      <c r="H1019" s="49"/>
      <c r="I1019" s="49"/>
      <c r="J1019" s="49"/>
      <c r="K1019" s="49"/>
      <c r="L1019" s="49"/>
      <c r="M1019" s="49"/>
      <c r="N1019" s="49"/>
      <c r="O1019" s="49"/>
      <c r="P1019" s="49"/>
      <c r="Q1019" s="49"/>
      <c r="R1019" s="49"/>
      <c r="S1019" s="49"/>
      <c r="T1019" s="49"/>
      <c r="U1019" s="49"/>
      <c r="V1019" s="49"/>
      <c r="W1019" s="49"/>
      <c r="X1019" s="49"/>
      <c r="Y1019" s="49"/>
      <c r="Z1019" s="49"/>
      <c r="AA1019" s="49"/>
    </row>
    <row r="1020">
      <c r="A1020" s="49"/>
      <c r="B1020" s="49"/>
      <c r="C1020" s="49"/>
      <c r="D1020" s="49"/>
      <c r="E1020" s="49"/>
      <c r="F1020" s="49"/>
      <c r="G1020" s="49"/>
      <c r="H1020" s="49"/>
      <c r="I1020" s="49"/>
      <c r="J1020" s="49"/>
      <c r="K1020" s="49"/>
      <c r="L1020" s="49"/>
      <c r="M1020" s="49"/>
      <c r="N1020" s="49"/>
      <c r="O1020" s="49"/>
      <c r="P1020" s="49"/>
      <c r="Q1020" s="49"/>
      <c r="R1020" s="49"/>
      <c r="S1020" s="49"/>
      <c r="T1020" s="49"/>
      <c r="U1020" s="49"/>
      <c r="V1020" s="49"/>
      <c r="W1020" s="49"/>
      <c r="X1020" s="49"/>
      <c r="Y1020" s="49"/>
      <c r="Z1020" s="49"/>
      <c r="AA1020" s="49"/>
    </row>
    <row r="1021">
      <c r="A1021" s="49"/>
      <c r="B1021" s="49"/>
      <c r="C1021" s="49"/>
      <c r="D1021" s="49"/>
      <c r="E1021" s="49"/>
      <c r="F1021" s="49"/>
      <c r="G1021" s="49"/>
      <c r="H1021" s="49"/>
      <c r="I1021" s="49"/>
      <c r="J1021" s="49"/>
      <c r="K1021" s="49"/>
      <c r="L1021" s="49"/>
      <c r="M1021" s="49"/>
      <c r="N1021" s="49"/>
      <c r="O1021" s="49"/>
      <c r="P1021" s="49"/>
      <c r="Q1021" s="49"/>
      <c r="R1021" s="49"/>
      <c r="S1021" s="49"/>
      <c r="T1021" s="49"/>
      <c r="U1021" s="49"/>
      <c r="V1021" s="49"/>
      <c r="W1021" s="49"/>
      <c r="X1021" s="49"/>
      <c r="Y1021" s="49"/>
      <c r="Z1021" s="49"/>
      <c r="AA1021" s="49"/>
    </row>
    <row r="1022">
      <c r="A1022" s="49"/>
      <c r="B1022" s="49"/>
      <c r="C1022" s="49"/>
      <c r="D1022" s="49"/>
      <c r="E1022" s="49"/>
      <c r="F1022" s="49"/>
      <c r="G1022" s="49"/>
      <c r="H1022" s="49"/>
      <c r="I1022" s="49"/>
      <c r="J1022" s="49"/>
      <c r="K1022" s="49"/>
      <c r="L1022" s="49"/>
      <c r="M1022" s="49"/>
      <c r="N1022" s="49"/>
      <c r="O1022" s="49"/>
      <c r="P1022" s="49"/>
      <c r="Q1022" s="49"/>
      <c r="R1022" s="49"/>
      <c r="S1022" s="49"/>
      <c r="T1022" s="49"/>
      <c r="U1022" s="49"/>
      <c r="V1022" s="49"/>
      <c r="W1022" s="49"/>
      <c r="X1022" s="49"/>
      <c r="Y1022" s="49"/>
      <c r="Z1022" s="49"/>
      <c r="AA1022" s="49"/>
    </row>
    <row r="1023">
      <c r="A1023" s="49"/>
      <c r="B1023" s="49"/>
      <c r="C1023" s="49"/>
      <c r="D1023" s="49"/>
      <c r="E1023" s="49"/>
      <c r="F1023" s="49"/>
      <c r="G1023" s="49"/>
      <c r="H1023" s="49"/>
      <c r="I1023" s="49"/>
      <c r="J1023" s="49"/>
      <c r="K1023" s="49"/>
      <c r="L1023" s="49"/>
      <c r="M1023" s="49"/>
      <c r="N1023" s="49"/>
      <c r="O1023" s="49"/>
      <c r="P1023" s="49"/>
      <c r="Q1023" s="49"/>
      <c r="R1023" s="49"/>
      <c r="S1023" s="49"/>
      <c r="T1023" s="49"/>
      <c r="U1023" s="49"/>
      <c r="V1023" s="49"/>
      <c r="W1023" s="49"/>
      <c r="X1023" s="49"/>
      <c r="Y1023" s="49"/>
      <c r="Z1023" s="49"/>
      <c r="AA1023" s="49"/>
    </row>
    <row r="1024">
      <c r="A1024" s="49"/>
      <c r="B1024" s="49"/>
      <c r="C1024" s="49"/>
      <c r="D1024" s="49"/>
      <c r="E1024" s="49"/>
      <c r="F1024" s="49"/>
      <c r="G1024" s="49"/>
      <c r="H1024" s="49"/>
      <c r="I1024" s="49"/>
      <c r="J1024" s="49"/>
      <c r="K1024" s="49"/>
      <c r="L1024" s="49"/>
      <c r="M1024" s="49"/>
      <c r="N1024" s="49"/>
      <c r="O1024" s="49"/>
      <c r="P1024" s="49"/>
      <c r="Q1024" s="49"/>
      <c r="R1024" s="49"/>
      <c r="S1024" s="49"/>
      <c r="T1024" s="49"/>
      <c r="U1024" s="49"/>
      <c r="V1024" s="49"/>
      <c r="W1024" s="49"/>
      <c r="X1024" s="49"/>
      <c r="Y1024" s="49"/>
      <c r="Z1024" s="49"/>
      <c r="AA1024" s="49"/>
    </row>
    <row r="1025">
      <c r="A1025" s="49"/>
      <c r="B1025" s="49"/>
      <c r="C1025" s="49"/>
      <c r="D1025" s="49"/>
      <c r="E1025" s="49"/>
      <c r="F1025" s="49"/>
      <c r="G1025" s="49"/>
      <c r="H1025" s="49"/>
      <c r="I1025" s="49"/>
      <c r="J1025" s="49"/>
      <c r="K1025" s="49"/>
      <c r="L1025" s="49"/>
      <c r="M1025" s="49"/>
      <c r="N1025" s="49"/>
      <c r="O1025" s="49"/>
      <c r="P1025" s="49"/>
      <c r="Q1025" s="49"/>
      <c r="R1025" s="49"/>
      <c r="S1025" s="49"/>
      <c r="T1025" s="49"/>
      <c r="U1025" s="49"/>
      <c r="V1025" s="49"/>
      <c r="W1025" s="49"/>
      <c r="X1025" s="49"/>
      <c r="Y1025" s="49"/>
      <c r="Z1025" s="49"/>
      <c r="AA1025" s="49"/>
    </row>
    <row r="1026">
      <c r="A1026" s="49"/>
      <c r="B1026" s="49"/>
      <c r="C1026" s="49"/>
      <c r="D1026" s="49"/>
      <c r="E1026" s="49"/>
      <c r="F1026" s="49"/>
      <c r="G1026" s="49"/>
      <c r="H1026" s="49"/>
      <c r="I1026" s="49"/>
      <c r="J1026" s="49"/>
      <c r="K1026" s="49"/>
      <c r="L1026" s="49"/>
      <c r="M1026" s="49"/>
      <c r="N1026" s="49"/>
      <c r="O1026" s="49"/>
      <c r="P1026" s="49"/>
      <c r="Q1026" s="49"/>
      <c r="R1026" s="49"/>
      <c r="S1026" s="49"/>
      <c r="T1026" s="49"/>
      <c r="U1026" s="49"/>
      <c r="V1026" s="49"/>
      <c r="W1026" s="49"/>
      <c r="X1026" s="49"/>
      <c r="Y1026" s="49"/>
      <c r="Z1026" s="49"/>
      <c r="AA1026" s="49"/>
    </row>
    <row r="1027">
      <c r="A1027" s="49"/>
      <c r="B1027" s="49"/>
      <c r="C1027" s="49"/>
      <c r="D1027" s="49"/>
      <c r="E1027" s="49"/>
      <c r="F1027" s="49"/>
      <c r="G1027" s="49"/>
      <c r="H1027" s="49"/>
      <c r="I1027" s="49"/>
      <c r="J1027" s="49"/>
      <c r="K1027" s="49"/>
      <c r="L1027" s="49"/>
      <c r="M1027" s="49"/>
      <c r="N1027" s="49"/>
      <c r="O1027" s="49"/>
      <c r="P1027" s="49"/>
      <c r="Q1027" s="49"/>
      <c r="R1027" s="49"/>
      <c r="S1027" s="49"/>
      <c r="T1027" s="49"/>
      <c r="U1027" s="49"/>
      <c r="V1027" s="49"/>
      <c r="W1027" s="49"/>
      <c r="X1027" s="49"/>
      <c r="Y1027" s="49"/>
      <c r="Z1027" s="49"/>
      <c r="AA1027" s="49"/>
    </row>
    <row r="1028">
      <c r="A1028" s="49"/>
      <c r="B1028" s="49"/>
      <c r="C1028" s="49"/>
      <c r="D1028" s="49"/>
      <c r="E1028" s="49"/>
      <c r="F1028" s="49"/>
      <c r="G1028" s="49"/>
      <c r="H1028" s="49"/>
      <c r="I1028" s="49"/>
      <c r="J1028" s="49"/>
      <c r="K1028" s="49"/>
      <c r="L1028" s="49"/>
      <c r="M1028" s="49"/>
      <c r="N1028" s="49"/>
      <c r="O1028" s="49"/>
      <c r="P1028" s="49"/>
      <c r="Q1028" s="49"/>
      <c r="R1028" s="49"/>
      <c r="S1028" s="49"/>
      <c r="T1028" s="49"/>
      <c r="U1028" s="49"/>
      <c r="V1028" s="49"/>
      <c r="W1028" s="49"/>
      <c r="X1028" s="49"/>
      <c r="Y1028" s="49"/>
      <c r="Z1028" s="49"/>
      <c r="AA1028" s="49"/>
    </row>
    <row r="1029">
      <c r="A1029" s="49"/>
      <c r="B1029" s="49"/>
      <c r="C1029" s="49"/>
      <c r="D1029" s="49"/>
      <c r="E1029" s="49"/>
      <c r="F1029" s="49"/>
      <c r="G1029" s="49"/>
      <c r="H1029" s="49"/>
      <c r="I1029" s="49"/>
      <c r="J1029" s="49"/>
      <c r="K1029" s="49"/>
      <c r="L1029" s="49"/>
      <c r="M1029" s="49"/>
      <c r="N1029" s="49"/>
      <c r="O1029" s="49"/>
      <c r="P1029" s="49"/>
      <c r="Q1029" s="49"/>
      <c r="R1029" s="49"/>
      <c r="S1029" s="49"/>
      <c r="T1029" s="49"/>
      <c r="U1029" s="49"/>
      <c r="V1029" s="49"/>
      <c r="W1029" s="49"/>
      <c r="X1029" s="49"/>
      <c r="Y1029" s="49"/>
      <c r="Z1029" s="49"/>
      <c r="AA1029" s="49"/>
    </row>
    <row r="1030">
      <c r="A1030" s="49"/>
      <c r="B1030" s="49"/>
      <c r="C1030" s="49"/>
      <c r="D1030" s="49"/>
      <c r="E1030" s="49"/>
      <c r="F1030" s="49"/>
      <c r="G1030" s="49"/>
      <c r="H1030" s="49"/>
      <c r="I1030" s="49"/>
      <c r="J1030" s="49"/>
      <c r="K1030" s="49"/>
      <c r="L1030" s="49"/>
      <c r="M1030" s="49"/>
      <c r="N1030" s="49"/>
      <c r="O1030" s="49"/>
      <c r="P1030" s="49"/>
      <c r="Q1030" s="49"/>
      <c r="R1030" s="49"/>
      <c r="S1030" s="49"/>
      <c r="T1030" s="49"/>
      <c r="U1030" s="49"/>
      <c r="V1030" s="49"/>
      <c r="W1030" s="49"/>
      <c r="X1030" s="49"/>
      <c r="Y1030" s="49"/>
      <c r="Z1030" s="49"/>
      <c r="AA1030" s="49"/>
    </row>
    <row r="1031">
      <c r="A1031" s="49"/>
      <c r="B1031" s="49"/>
      <c r="C1031" s="49"/>
      <c r="D1031" s="49"/>
      <c r="E1031" s="49"/>
      <c r="F1031" s="49"/>
      <c r="G1031" s="49"/>
      <c r="H1031" s="49"/>
      <c r="I1031" s="49"/>
      <c r="J1031" s="49"/>
      <c r="K1031" s="49"/>
      <c r="L1031" s="49"/>
      <c r="M1031" s="49"/>
      <c r="N1031" s="49"/>
      <c r="O1031" s="49"/>
      <c r="P1031" s="49"/>
      <c r="Q1031" s="49"/>
      <c r="R1031" s="49"/>
      <c r="S1031" s="49"/>
      <c r="T1031" s="49"/>
      <c r="U1031" s="49"/>
      <c r="V1031" s="49"/>
      <c r="W1031" s="49"/>
      <c r="X1031" s="49"/>
      <c r="Y1031" s="49"/>
      <c r="Z1031" s="49"/>
      <c r="AA1031" s="49"/>
    </row>
    <row r="1032">
      <c r="A1032" s="49"/>
      <c r="B1032" s="49"/>
      <c r="C1032" s="49"/>
      <c r="D1032" s="49"/>
      <c r="E1032" s="49"/>
      <c r="F1032" s="49"/>
      <c r="G1032" s="49"/>
      <c r="H1032" s="49"/>
      <c r="I1032" s="49"/>
      <c r="J1032" s="49"/>
      <c r="K1032" s="49"/>
      <c r="L1032" s="49"/>
      <c r="M1032" s="49"/>
      <c r="N1032" s="49"/>
      <c r="O1032" s="49"/>
      <c r="P1032" s="49"/>
      <c r="Q1032" s="49"/>
      <c r="R1032" s="49"/>
      <c r="S1032" s="49"/>
      <c r="T1032" s="49"/>
      <c r="U1032" s="49"/>
      <c r="V1032" s="49"/>
      <c r="W1032" s="49"/>
      <c r="X1032" s="49"/>
      <c r="Y1032" s="49"/>
      <c r="Z1032" s="49"/>
      <c r="AA1032" s="49"/>
    </row>
    <row r="1033">
      <c r="A1033" s="49"/>
      <c r="B1033" s="49"/>
      <c r="C1033" s="49"/>
      <c r="D1033" s="49"/>
      <c r="E1033" s="49"/>
      <c r="F1033" s="49"/>
      <c r="G1033" s="49"/>
      <c r="H1033" s="49"/>
      <c r="I1033" s="49"/>
      <c r="J1033" s="49"/>
      <c r="K1033" s="49"/>
      <c r="L1033" s="49"/>
      <c r="M1033" s="49"/>
      <c r="N1033" s="49"/>
      <c r="O1033" s="49"/>
      <c r="P1033" s="49"/>
      <c r="Q1033" s="49"/>
      <c r="R1033" s="49"/>
      <c r="S1033" s="49"/>
      <c r="T1033" s="49"/>
      <c r="U1033" s="49"/>
      <c r="V1033" s="49"/>
      <c r="W1033" s="49"/>
      <c r="X1033" s="49"/>
      <c r="Y1033" s="49"/>
      <c r="Z1033" s="49"/>
      <c r="AA1033" s="49"/>
    </row>
    <row r="1034">
      <c r="A1034" s="49"/>
      <c r="B1034" s="49"/>
      <c r="C1034" s="49"/>
      <c r="D1034" s="49"/>
      <c r="E1034" s="49"/>
      <c r="F1034" s="49"/>
      <c r="G1034" s="49"/>
      <c r="H1034" s="49"/>
      <c r="I1034" s="49"/>
      <c r="J1034" s="49"/>
      <c r="K1034" s="49"/>
      <c r="L1034" s="49"/>
      <c r="M1034" s="49"/>
      <c r="N1034" s="49"/>
      <c r="O1034" s="49"/>
      <c r="P1034" s="49"/>
      <c r="Q1034" s="49"/>
      <c r="R1034" s="49"/>
      <c r="S1034" s="49"/>
      <c r="T1034" s="49"/>
      <c r="U1034" s="49"/>
      <c r="V1034" s="49"/>
      <c r="W1034" s="49"/>
      <c r="X1034" s="49"/>
      <c r="Y1034" s="49"/>
      <c r="Z1034" s="49"/>
      <c r="AA1034" s="49"/>
    </row>
    <row r="1035">
      <c r="A1035" s="49"/>
      <c r="B1035" s="49"/>
      <c r="C1035" s="49"/>
      <c r="D1035" s="49"/>
      <c r="E1035" s="49"/>
      <c r="F1035" s="49"/>
      <c r="G1035" s="49"/>
      <c r="H1035" s="49"/>
      <c r="I1035" s="49"/>
      <c r="J1035" s="49"/>
      <c r="K1035" s="49"/>
      <c r="L1035" s="49"/>
      <c r="M1035" s="49"/>
      <c r="N1035" s="49"/>
      <c r="O1035" s="49"/>
      <c r="P1035" s="49"/>
      <c r="Q1035" s="49"/>
      <c r="R1035" s="49"/>
      <c r="S1035" s="49"/>
      <c r="T1035" s="49"/>
      <c r="U1035" s="49"/>
      <c r="V1035" s="49"/>
      <c r="W1035" s="49"/>
      <c r="X1035" s="49"/>
      <c r="Y1035" s="49"/>
      <c r="Z1035" s="49"/>
      <c r="AA1035" s="49"/>
    </row>
    <row r="1036">
      <c r="A1036" s="49"/>
      <c r="B1036" s="49"/>
      <c r="C1036" s="49"/>
      <c r="D1036" s="49"/>
      <c r="E1036" s="49"/>
      <c r="F1036" s="49"/>
      <c r="G1036" s="49"/>
      <c r="H1036" s="49"/>
      <c r="I1036" s="49"/>
      <c r="J1036" s="49"/>
      <c r="K1036" s="49"/>
      <c r="L1036" s="49"/>
      <c r="M1036" s="49"/>
      <c r="N1036" s="49"/>
      <c r="O1036" s="49"/>
      <c r="P1036" s="49"/>
      <c r="Q1036" s="49"/>
      <c r="R1036" s="49"/>
      <c r="S1036" s="49"/>
      <c r="T1036" s="49"/>
      <c r="U1036" s="49"/>
      <c r="V1036" s="49"/>
      <c r="W1036" s="49"/>
      <c r="X1036" s="49"/>
      <c r="Y1036" s="49"/>
      <c r="Z1036" s="49"/>
      <c r="AA1036" s="49"/>
    </row>
    <row r="1037">
      <c r="A1037" s="49"/>
      <c r="B1037" s="49"/>
      <c r="C1037" s="49"/>
      <c r="D1037" s="49"/>
      <c r="E1037" s="49"/>
      <c r="F1037" s="49"/>
      <c r="G1037" s="49"/>
      <c r="H1037" s="49"/>
      <c r="I1037" s="49"/>
      <c r="J1037" s="49"/>
      <c r="K1037" s="49"/>
      <c r="L1037" s="49"/>
      <c r="M1037" s="49"/>
      <c r="N1037" s="49"/>
      <c r="O1037" s="49"/>
      <c r="P1037" s="49"/>
      <c r="Q1037" s="49"/>
      <c r="R1037" s="49"/>
      <c r="S1037" s="49"/>
      <c r="T1037" s="49"/>
      <c r="U1037" s="49"/>
      <c r="V1037" s="49"/>
      <c r="W1037" s="49"/>
      <c r="X1037" s="49"/>
      <c r="Y1037" s="49"/>
      <c r="Z1037" s="49"/>
      <c r="AA1037" s="49"/>
    </row>
    <row r="1038">
      <c r="A1038" s="49"/>
      <c r="B1038" s="49"/>
      <c r="C1038" s="49"/>
      <c r="D1038" s="49"/>
      <c r="E1038" s="49"/>
      <c r="F1038" s="49"/>
      <c r="G1038" s="49"/>
      <c r="H1038" s="49"/>
      <c r="I1038" s="49"/>
      <c r="J1038" s="49"/>
      <c r="K1038" s="49"/>
      <c r="L1038" s="49"/>
      <c r="M1038" s="49"/>
      <c r="N1038" s="49"/>
      <c r="O1038" s="49"/>
      <c r="P1038" s="49"/>
      <c r="Q1038" s="49"/>
      <c r="R1038" s="49"/>
      <c r="S1038" s="49"/>
      <c r="T1038" s="49"/>
      <c r="U1038" s="49"/>
      <c r="V1038" s="49"/>
      <c r="W1038" s="49"/>
      <c r="X1038" s="49"/>
      <c r="Y1038" s="49"/>
      <c r="Z1038" s="49"/>
      <c r="AA1038" s="49"/>
    </row>
    <row r="1039">
      <c r="A1039" s="49"/>
      <c r="B1039" s="49"/>
      <c r="C1039" s="49"/>
      <c r="D1039" s="49"/>
      <c r="E1039" s="49"/>
      <c r="F1039" s="49"/>
      <c r="G1039" s="49"/>
      <c r="H1039" s="49"/>
      <c r="I1039" s="49"/>
      <c r="J1039" s="49"/>
      <c r="K1039" s="49"/>
      <c r="L1039" s="49"/>
      <c r="M1039" s="49"/>
      <c r="N1039" s="49"/>
      <c r="O1039" s="49"/>
      <c r="P1039" s="49"/>
      <c r="Q1039" s="49"/>
      <c r="R1039" s="49"/>
      <c r="S1039" s="49"/>
      <c r="T1039" s="49"/>
      <c r="U1039" s="49"/>
      <c r="V1039" s="49"/>
      <c r="W1039" s="49"/>
      <c r="X1039" s="49"/>
      <c r="Y1039" s="49"/>
      <c r="Z1039" s="49"/>
      <c r="AA1039" s="49"/>
    </row>
    <row r="1040">
      <c r="A1040" s="49"/>
      <c r="B1040" s="49"/>
      <c r="C1040" s="49"/>
      <c r="D1040" s="49"/>
      <c r="E1040" s="49"/>
      <c r="F1040" s="49"/>
      <c r="G1040" s="49"/>
      <c r="H1040" s="49"/>
      <c r="I1040" s="49"/>
      <c r="J1040" s="49"/>
      <c r="K1040" s="49"/>
      <c r="L1040" s="49"/>
      <c r="M1040" s="49"/>
      <c r="N1040" s="49"/>
      <c r="O1040" s="49"/>
      <c r="P1040" s="49"/>
      <c r="Q1040" s="49"/>
      <c r="R1040" s="49"/>
      <c r="S1040" s="49"/>
      <c r="T1040" s="49"/>
      <c r="U1040" s="49"/>
      <c r="V1040" s="49"/>
      <c r="W1040" s="49"/>
      <c r="X1040" s="49"/>
      <c r="Y1040" s="49"/>
      <c r="Z1040" s="49"/>
      <c r="AA1040" s="49"/>
    </row>
    <row r="1041">
      <c r="A1041" s="49"/>
      <c r="B1041" s="49"/>
      <c r="C1041" s="49"/>
      <c r="D1041" s="49"/>
      <c r="E1041" s="49"/>
      <c r="F1041" s="49"/>
      <c r="G1041" s="49"/>
      <c r="H1041" s="49"/>
      <c r="I1041" s="49"/>
      <c r="J1041" s="49"/>
      <c r="K1041" s="49"/>
      <c r="L1041" s="49"/>
      <c r="M1041" s="49"/>
      <c r="N1041" s="49"/>
      <c r="O1041" s="49"/>
      <c r="P1041" s="49"/>
      <c r="Q1041" s="49"/>
      <c r="R1041" s="49"/>
      <c r="S1041" s="49"/>
      <c r="T1041" s="49"/>
      <c r="U1041" s="49"/>
      <c r="V1041" s="49"/>
      <c r="W1041" s="49"/>
      <c r="X1041" s="49"/>
      <c r="Y1041" s="49"/>
      <c r="Z1041" s="49"/>
      <c r="AA1041" s="49"/>
    </row>
    <row r="1042">
      <c r="A1042" s="49"/>
      <c r="B1042" s="49"/>
      <c r="C1042" s="49"/>
      <c r="D1042" s="49"/>
      <c r="E1042" s="49"/>
      <c r="F1042" s="49"/>
      <c r="G1042" s="49"/>
      <c r="H1042" s="49"/>
      <c r="I1042" s="49"/>
      <c r="J1042" s="49"/>
      <c r="K1042" s="49"/>
      <c r="L1042" s="49"/>
      <c r="M1042" s="49"/>
      <c r="N1042" s="49"/>
      <c r="O1042" s="49"/>
      <c r="P1042" s="49"/>
      <c r="Q1042" s="49"/>
      <c r="R1042" s="49"/>
      <c r="S1042" s="49"/>
      <c r="T1042" s="49"/>
      <c r="U1042" s="49"/>
      <c r="V1042" s="49"/>
      <c r="W1042" s="49"/>
      <c r="X1042" s="49"/>
      <c r="Y1042" s="49"/>
      <c r="Z1042" s="49"/>
      <c r="AA1042" s="49"/>
    </row>
    <row r="1043">
      <c r="A1043" s="49"/>
      <c r="B1043" s="49"/>
      <c r="C1043" s="49"/>
      <c r="D1043" s="49"/>
      <c r="E1043" s="49"/>
      <c r="F1043" s="49"/>
      <c r="G1043" s="49"/>
      <c r="H1043" s="49"/>
      <c r="I1043" s="49"/>
      <c r="J1043" s="49"/>
      <c r="K1043" s="49"/>
      <c r="L1043" s="49"/>
      <c r="M1043" s="49"/>
      <c r="N1043" s="49"/>
      <c r="O1043" s="49"/>
      <c r="P1043" s="49"/>
      <c r="Q1043" s="49"/>
      <c r="R1043" s="49"/>
      <c r="S1043" s="49"/>
      <c r="T1043" s="49"/>
      <c r="U1043" s="49"/>
      <c r="V1043" s="49"/>
      <c r="W1043" s="49"/>
      <c r="X1043" s="49"/>
      <c r="Y1043" s="49"/>
      <c r="Z1043" s="49"/>
      <c r="AA1043" s="49"/>
    </row>
    <row r="1044">
      <c r="A1044" s="49"/>
      <c r="B1044" s="49"/>
      <c r="C1044" s="49"/>
      <c r="D1044" s="49"/>
      <c r="E1044" s="49"/>
      <c r="F1044" s="49"/>
      <c r="G1044" s="49"/>
      <c r="H1044" s="49"/>
      <c r="I1044" s="49"/>
      <c r="J1044" s="49"/>
      <c r="K1044" s="49"/>
      <c r="L1044" s="49"/>
      <c r="M1044" s="49"/>
      <c r="N1044" s="49"/>
      <c r="O1044" s="49"/>
      <c r="P1044" s="49"/>
      <c r="Q1044" s="49"/>
      <c r="R1044" s="49"/>
      <c r="S1044" s="49"/>
      <c r="T1044" s="49"/>
      <c r="U1044" s="49"/>
      <c r="V1044" s="49"/>
      <c r="W1044" s="49"/>
      <c r="X1044" s="49"/>
      <c r="Y1044" s="49"/>
      <c r="Z1044" s="49"/>
      <c r="AA1044" s="49"/>
    </row>
    <row r="1045">
      <c r="A1045" s="49"/>
      <c r="B1045" s="49"/>
      <c r="C1045" s="49"/>
      <c r="D1045" s="49"/>
      <c r="E1045" s="49"/>
      <c r="F1045" s="49"/>
      <c r="G1045" s="49"/>
      <c r="H1045" s="49"/>
      <c r="I1045" s="49"/>
      <c r="J1045" s="49"/>
      <c r="K1045" s="49"/>
      <c r="L1045" s="49"/>
      <c r="M1045" s="49"/>
      <c r="N1045" s="49"/>
      <c r="O1045" s="49"/>
      <c r="P1045" s="49"/>
      <c r="Q1045" s="49"/>
      <c r="R1045" s="49"/>
      <c r="S1045" s="49"/>
      <c r="T1045" s="49"/>
      <c r="U1045" s="49"/>
      <c r="V1045" s="49"/>
      <c r="W1045" s="49"/>
      <c r="X1045" s="49"/>
      <c r="Y1045" s="49"/>
      <c r="Z1045" s="49"/>
      <c r="AA1045" s="49"/>
    </row>
    <row r="1046">
      <c r="A1046" s="49"/>
      <c r="B1046" s="49"/>
      <c r="C1046" s="49"/>
      <c r="D1046" s="49"/>
      <c r="E1046" s="49"/>
      <c r="F1046" s="49"/>
      <c r="G1046" s="49"/>
      <c r="H1046" s="49"/>
      <c r="I1046" s="49"/>
      <c r="J1046" s="49"/>
      <c r="K1046" s="49"/>
      <c r="L1046" s="49"/>
      <c r="M1046" s="49"/>
      <c r="N1046" s="49"/>
      <c r="O1046" s="49"/>
      <c r="P1046" s="49"/>
      <c r="Q1046" s="49"/>
      <c r="R1046" s="49"/>
      <c r="S1046" s="49"/>
      <c r="T1046" s="49"/>
      <c r="U1046" s="49"/>
      <c r="V1046" s="49"/>
      <c r="W1046" s="49"/>
      <c r="X1046" s="49"/>
      <c r="Y1046" s="49"/>
      <c r="Z1046" s="49"/>
      <c r="AA1046" s="49"/>
    </row>
    <row r="1047">
      <c r="A1047" s="49"/>
      <c r="B1047" s="49"/>
      <c r="C1047" s="49"/>
      <c r="D1047" s="49"/>
      <c r="E1047" s="49"/>
      <c r="F1047" s="49"/>
      <c r="G1047" s="49"/>
      <c r="H1047" s="49"/>
      <c r="I1047" s="49"/>
      <c r="J1047" s="49"/>
      <c r="K1047" s="49"/>
      <c r="L1047" s="49"/>
      <c r="M1047" s="49"/>
      <c r="N1047" s="49"/>
      <c r="O1047" s="49"/>
      <c r="P1047" s="49"/>
      <c r="Q1047" s="49"/>
      <c r="R1047" s="49"/>
      <c r="S1047" s="49"/>
      <c r="T1047" s="49"/>
      <c r="U1047" s="49"/>
      <c r="V1047" s="49"/>
      <c r="W1047" s="49"/>
      <c r="X1047" s="49"/>
      <c r="Y1047" s="49"/>
      <c r="Z1047" s="49"/>
      <c r="AA1047" s="49"/>
    </row>
    <row r="1048">
      <c r="A1048" s="49"/>
      <c r="B1048" s="49"/>
      <c r="C1048" s="49"/>
      <c r="D1048" s="49"/>
      <c r="E1048" s="49"/>
      <c r="F1048" s="49"/>
      <c r="G1048" s="49"/>
      <c r="H1048" s="49"/>
      <c r="I1048" s="49"/>
      <c r="J1048" s="49"/>
      <c r="K1048" s="49"/>
      <c r="L1048" s="49"/>
      <c r="M1048" s="49"/>
      <c r="N1048" s="49"/>
      <c r="O1048" s="49"/>
      <c r="P1048" s="49"/>
      <c r="Q1048" s="49"/>
      <c r="R1048" s="49"/>
      <c r="S1048" s="49"/>
      <c r="T1048" s="49"/>
      <c r="U1048" s="49"/>
      <c r="V1048" s="49"/>
      <c r="W1048" s="49"/>
      <c r="X1048" s="49"/>
      <c r="Y1048" s="49"/>
      <c r="Z1048" s="49"/>
      <c r="AA1048" s="49"/>
    </row>
    <row r="1049">
      <c r="A1049" s="49"/>
      <c r="B1049" s="49"/>
      <c r="C1049" s="49"/>
      <c r="D1049" s="49"/>
      <c r="E1049" s="49"/>
      <c r="F1049" s="49"/>
      <c r="G1049" s="49"/>
      <c r="H1049" s="49"/>
      <c r="I1049" s="49"/>
      <c r="J1049" s="49"/>
      <c r="K1049" s="49"/>
      <c r="L1049" s="49"/>
      <c r="M1049" s="49"/>
      <c r="N1049" s="49"/>
      <c r="O1049" s="49"/>
      <c r="P1049" s="49"/>
      <c r="Q1049" s="49"/>
      <c r="R1049" s="49"/>
      <c r="S1049" s="49"/>
      <c r="T1049" s="49"/>
      <c r="U1049" s="49"/>
      <c r="V1049" s="49"/>
      <c r="W1049" s="49"/>
      <c r="X1049" s="49"/>
      <c r="Y1049" s="49"/>
      <c r="Z1049" s="49"/>
      <c r="AA1049" s="49"/>
    </row>
  </sheetData>
  <mergeCells count="4">
    <mergeCell ref="A4:D4"/>
    <mergeCell ref="K7:N7"/>
    <mergeCell ref="F20:I20"/>
    <mergeCell ref="M21:N21"/>
  </mergeCells>
  <drawing r:id="rId1"/>
</worksheet>
</file>